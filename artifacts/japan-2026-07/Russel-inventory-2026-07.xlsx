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ventory" sheetId="2" state="visible" r:id="rId2"/>
    <sheet name="Summary" sheetId="3" state="visible" r:id="rId3"/>
    <sheet name="Owed to Russel" sheetId="4" state="visible" r:id="rId4"/>
  </sheets>
  <definedNames>
    <definedName name="_xlnm._FilterDatabase" localSheetId="1" hidden="1">'Inventory'!$A$1:$O$118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666666"/>
      <sz val="9"/>
    </font>
    <font>
      <name val="Arial"/>
      <b val="1"/>
      <sz val="11"/>
    </font>
    <font>
      <name val="Arial"/>
      <i val="1"/>
      <color rgb="00B33A2B"/>
      <sz val="9"/>
    </font>
  </fonts>
  <fills count="5">
    <fill>
      <patternFill/>
    </fill>
    <fill>
      <patternFill patternType="gray125"/>
    </fill>
    <fill>
      <patternFill patternType="solid">
        <fgColor rgb="00E8EAED"/>
      </patternFill>
    </fill>
    <fill>
      <patternFill patternType="solid">
        <fgColor rgb="001F3350"/>
      </patternFill>
    </fill>
    <fill>
      <patternFill patternType="solid">
        <fgColor rgb="00C9D3E0"/>
      </patternFill>
    </fill>
  </fills>
  <borders count="2">
    <border>
      <left/>
      <right/>
      <top/>
      <bottom/>
      <diagonal/>
    </border>
    <border>
      <bottom style="thin">
        <color rgb="00B8BCC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3" fontId="5" fillId="0" borderId="1" pivotButton="0" quotePrefix="0" xfId="0"/>
    <xf numFmtId="164" fontId="5" fillId="0" borderId="1" applyAlignment="1" pivotButton="0" quotePrefix="0" xfId="0">
      <alignment horizontal="center"/>
    </xf>
    <xf numFmtId="4" fontId="5" fillId="0" borderId="1" pivotButton="0" quotePrefix="0" xfId="0"/>
    <xf numFmtId="0" fontId="6" fillId="2" borderId="0" pivotButton="0" quotePrefix="0" xfId="0"/>
    <xf numFmtId="0" fontId="0" fillId="2" borderId="0" pivotButton="0" quotePrefix="0" xfId="0"/>
    <xf numFmtId="3" fontId="6" fillId="2" borderId="0" pivotButton="0" quotePrefix="0" xfId="0"/>
    <xf numFmtId="4" fontId="6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3" fontId="4" fillId="3" borderId="0" pivotButton="0" quotePrefix="0" xfId="0"/>
    <xf numFmtId="4" fontId="4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3" borderId="0" applyAlignment="1" pivotButton="0" quotePrefix="0" xfId="0">
      <alignment horizontal="center"/>
    </xf>
    <xf numFmtId="3" fontId="2" fillId="0" borderId="0" pivotButton="0" quotePrefix="0" xfId="0"/>
    <xf numFmtId="4" fontId="2" fillId="0" borderId="0" pivotButton="0" quotePrefix="0" xfId="0"/>
    <xf numFmtId="3" fontId="3" fillId="2" borderId="0" pivotButton="0" quotePrefix="0" xfId="0"/>
    <xf numFmtId="4" fontId="3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Japan Sourcing Trip — Russel's inventory</t>
        </is>
      </c>
      <c r="B1" s="2" t="inlineStr"/>
    </row>
    <row r="2">
      <c r="A2" s="3" t="inlineStr"/>
      <c r="B2" s="2" t="inlineStr"/>
    </row>
    <row r="3">
      <c r="A3" s="3" t="inlineStr">
        <is>
          <t>Scope</t>
        </is>
      </c>
      <c r="B3" s="2" t="inlineStr">
        <is>
          <t>Russel's own cards only. Excludes Kenshin, Nico, Eugene and the Gibbs client order entirely.</t>
        </is>
      </c>
    </row>
    <row r="4">
      <c r="A4" s="3" t="inlineStr">
        <is>
          <t>Period</t>
        </is>
      </c>
      <c r="B4" s="2" t="inlineStr">
        <is>
          <t>27 July – 1 August 2026 · Tokyo and Osaka. Day 5 was travel, no buying.</t>
        </is>
      </c>
    </row>
    <row r="5">
      <c r="A5" s="3" t="inlineStr">
        <is>
          <t>Lines</t>
        </is>
      </c>
      <c r="B5" s="2" t="inlineStr">
        <is>
          <t>107 purchase lines covering 169 physical items.</t>
        </is>
      </c>
    </row>
    <row r="6">
      <c r="A6" s="3" t="inlineStr"/>
      <c r="B6" s="2" t="inlineStr"/>
    </row>
    <row r="7">
      <c r="A7" s="4" t="inlineStr">
        <is>
          <t>Categories</t>
        </is>
      </c>
      <c r="B7" s="2" t="inlineStr"/>
    </row>
    <row r="8">
      <c r="A8" s="3" t="inlineStr">
        <is>
          <t>PSA Slab</t>
        </is>
      </c>
      <c r="B8" s="2" t="inlineStr">
        <is>
          <t>Professionally graded and encapsulated. 14 lines, 15 items.</t>
        </is>
      </c>
    </row>
    <row r="9">
      <c r="A9" s="3" t="inlineStr">
        <is>
          <t>Single</t>
        </is>
      </c>
      <c r="B9" s="2" t="inlineStr">
        <is>
          <t>Raw or shop-graded loose cards. 77 lines, 94 items.</t>
        </is>
      </c>
    </row>
    <row r="10">
      <c r="A10" s="3" t="inlineStr">
        <is>
          <t>Sealed</t>
        </is>
      </c>
      <c r="B10" s="2" t="inlineStr">
        <is>
          <t>Unopened boxes. 16 lines, 60 items. Neither of the two categories asked for, so recorded separately rather than forced into one.</t>
        </is>
      </c>
    </row>
    <row r="11">
      <c r="A11" s="3" t="inlineStr"/>
      <c r="B11" s="2" t="inlineStr"/>
    </row>
    <row r="12">
      <c r="A12" s="4" t="inlineStr">
        <is>
          <t>Costing</t>
        </is>
      </c>
      <c r="B12" s="2" t="inlineStr"/>
    </row>
    <row r="13">
      <c r="A13" s="3" t="inlineStr">
        <is>
          <t>Sticker ¥</t>
        </is>
      </c>
      <c r="B13" s="2" t="inlineStr">
        <is>
          <t>Shelf price before any tax-free discount.</t>
        </is>
      </c>
    </row>
    <row r="14">
      <c r="A14" s="3" t="inlineStr">
        <is>
          <t>Paid ¥</t>
        </is>
      </c>
      <c r="B14" s="2" t="inlineStr">
        <is>
          <t>What was actually paid. On 免税 receipts this is the sticker net of the 9.09% deduction, split per line and reconciled to the printed receipt total.</t>
        </is>
      </c>
    </row>
    <row r="15">
      <c r="A15" s="3" t="inlineStr">
        <is>
          <t>FX</t>
        </is>
      </c>
      <c r="B15" s="2" t="inlineStr">
        <is>
          <t>0.380 for Days 1–4, 0.385 for Day 6, both per Russel. No card has posted in pesos yet, so peso figures on card lines are provisional.</t>
        </is>
      </c>
    </row>
    <row r="16">
      <c r="A16" s="3" t="inlineStr">
        <is>
          <t>Cost ₱</t>
        </is>
      </c>
      <c r="B16" s="2">
        <f> Paid ¥ × FX. Formula, not a typed number.</f>
        <v/>
      </c>
    </row>
    <row r="17">
      <c r="A17" s="3" t="inlineStr">
        <is>
          <t>Unit ₱</t>
        </is>
      </c>
      <c r="B17" s="2">
        <f> Cost ₱ ÷ Qty. Use this for per-item landed cost.</f>
        <v/>
      </c>
    </row>
    <row r="18">
      <c r="A18" s="3" t="inlineStr"/>
      <c r="B18" s="2" t="inlineStr"/>
    </row>
    <row r="19">
      <c r="A19" s="4" t="inlineStr">
        <is>
          <t>Not included</t>
        </is>
      </c>
      <c r="B19" s="2" t="inlineStr"/>
    </row>
    <row r="20">
      <c r="A20" s="3" t="inlineStr">
        <is>
          <t>Overhead</t>
        </is>
      </c>
      <c r="B20" s="2" t="inlineStr">
        <is>
          <t>Meals, transport and trip expenses are deliberately NOT capitalised into these costs. Every figure here is ex-overhead by decision.</t>
        </is>
      </c>
    </row>
    <row r="21">
      <c r="A21" s="3" t="inlineStr">
        <is>
          <t>Duties</t>
        </is>
      </c>
      <c r="B21" s="2" t="inlineStr">
        <is>
          <t>Nothing for PH import duty, freight or grading is included.</t>
        </is>
      </c>
    </row>
    <row r="22">
      <c r="A22" s="3" t="inlineStr"/>
      <c r="B22" s="2" t="inlineStr"/>
    </row>
    <row r="23">
      <c r="A23" s="4" t="inlineStr">
        <is>
          <t>Watch</t>
        </is>
      </c>
      <c r="B23" s="2" t="inlineStr"/>
    </row>
    <row r="24">
      <c r="A24" s="3" t="inlineStr">
        <is>
          <t>Unnamed</t>
        </is>
      </c>
      <c r="B24" s="2" t="inlineStr">
        <is>
          <t>D6-23, D6-24, D6-33, D6-34 and D3-23 carry no card name — the receipts did not print one. Confirm before listing.</t>
        </is>
      </c>
    </row>
    <row r="25">
      <c r="A25" s="3" t="inlineStr">
        <is>
          <t>50% stakes</t>
        </is>
      </c>
      <c r="B25" s="2" t="inlineStr">
        <is>
          <t>D6-33 and D6-34 are held half with Eugene. Only Russel's half is costed here; the physical cards are whole.</t>
        </is>
      </c>
    </row>
    <row r="26">
      <c r="A26" s="3" t="inlineStr">
        <is>
          <t>No receipt</t>
        </is>
      </c>
      <c r="B26" s="2" t="inlineStr">
        <is>
          <t>D3-22 and D3-23 have no receipt, cash per Russel.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30" customWidth="1" min="4" max="4"/>
    <col width="42" customWidth="1" min="5" max="5"/>
    <col width="44" customWidth="1" min="6" max="6"/>
    <col width="11" customWidth="1" min="7" max="7"/>
    <col width="6" customWidth="1" min="8" max="8"/>
    <col width="12" customWidth="1" min="9" max="9"/>
    <col width="12" customWidth="1" min="10" max="10"/>
    <col width="8" customWidth="1" min="11" max="11"/>
    <col width="13" customWidth="1" min="12" max="12"/>
    <col width="12" customWidth="1" min="13" max="13"/>
    <col width="8" customWidth="1" min="14" max="14"/>
    <col width="26" customWidth="1" min="15" max="15"/>
  </cols>
  <sheetData>
    <row r="1" ht="28" customHeight="1">
      <c r="A1" s="5" t="inlineStr">
        <is>
          <t>Line</t>
        </is>
      </c>
      <c r="B1" s="5" t="inlineStr">
        <is>
          <t>Day</t>
        </is>
      </c>
      <c r="C1" s="5" t="inlineStr">
        <is>
          <t>Date</t>
        </is>
      </c>
      <c r="D1" s="5" t="inlineStr">
        <is>
          <t>Store</t>
        </is>
      </c>
      <c r="E1" s="5" t="inlineStr">
        <is>
          <t>Item</t>
        </is>
      </c>
      <c r="F1" s="5" t="inlineStr">
        <is>
          <t>Detail / Set</t>
        </is>
      </c>
      <c r="G1" s="5" t="inlineStr">
        <is>
          <t>Category</t>
        </is>
      </c>
      <c r="H1" s="5" t="inlineStr">
        <is>
          <t>Qty</t>
        </is>
      </c>
      <c r="I1" s="5" t="inlineStr">
        <is>
          <t>Sticker ¥</t>
        </is>
      </c>
      <c r="J1" s="5" t="inlineStr">
        <is>
          <t>Paid ¥</t>
        </is>
      </c>
      <c r="K1" s="5" t="inlineStr">
        <is>
          <t>FX</t>
        </is>
      </c>
      <c r="L1" s="5" t="inlineStr">
        <is>
          <t>Cost ₱</t>
        </is>
      </c>
      <c r="M1" s="5" t="inlineStr">
        <is>
          <t>Unit ₱</t>
        </is>
      </c>
      <c r="N1" s="5" t="inlineStr">
        <is>
          <t>Tax</t>
        </is>
      </c>
      <c r="O1" s="5" t="inlineStr">
        <is>
          <t>Payment</t>
        </is>
      </c>
    </row>
    <row r="2">
      <c r="A2" s="6" t="inlineStr">
        <is>
          <t>PSA SLAB  —  14 lines, 15 items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8" t="inlineStr">
        <is>
          <t>D4-16</t>
        </is>
      </c>
      <c r="B3" s="9" t="n">
        <v>4</v>
      </c>
      <c r="C3" s="8" t="inlineStr">
        <is>
          <t>30-Jul-2026</t>
        </is>
      </c>
      <c r="D3" s="8" t="inlineStr">
        <is>
          <t>スニーダンクトレカ 秋葉原店 19:52</t>
        </is>
      </c>
      <c r="E3" s="8" t="inlineStr">
        <is>
          <t>Snorlax 1st Ed — PSA 10</t>
        </is>
      </c>
      <c r="F3" s="8" t="inlineStr">
        <is>
          <t>カビゴン(1ED) PSA10 · U中古</t>
        </is>
      </c>
      <c r="G3" s="8" t="inlineStr">
        <is>
          <t>PSA Slab</t>
        </is>
      </c>
      <c r="H3" s="9" t="n">
        <v>1</v>
      </c>
      <c r="I3" s="10" t="n">
        <v>260000</v>
      </c>
      <c r="J3" s="10" t="n">
        <v>236364</v>
      </c>
      <c r="K3" s="11" t="n">
        <v>0.38</v>
      </c>
      <c r="L3" s="12">
        <f>J3*K3</f>
        <v/>
      </c>
      <c r="M3" s="12">
        <f>L3/H3</f>
        <v/>
      </c>
      <c r="N3" s="9" t="inlineStr">
        <is>
          <t>免税</t>
        </is>
      </c>
      <c r="O3" s="8" t="inlineStr">
        <is>
          <t>Cash + Mastercard (split)</t>
        </is>
      </c>
    </row>
    <row r="4">
      <c r="A4" s="8" t="inlineStr">
        <is>
          <t>D1-13</t>
        </is>
      </c>
      <c r="B4" s="9" t="n">
        <v>1</v>
      </c>
      <c r="C4" s="8" t="inlineStr">
        <is>
          <t>27-Jul-2026</t>
        </is>
      </c>
      <c r="D4" s="8" t="inlineStr">
        <is>
          <t>Card Collect</t>
        </is>
      </c>
      <c r="E4" s="8" t="inlineStr">
        <is>
          <t>Charizard — PCG 25th Anniversary #001</t>
        </is>
      </c>
      <c r="F4" s="8" t="inlineStr">
        <is>
          <t>2021 JP · PSA 10 GEM MT</t>
        </is>
      </c>
      <c r="G4" s="8" t="inlineStr">
        <is>
          <t>PSA Slab</t>
        </is>
      </c>
      <c r="H4" s="9" t="n">
        <v>1</v>
      </c>
      <c r="I4" s="10" t="n">
        <v>133000</v>
      </c>
      <c r="J4" s="10" t="n">
        <v>120910</v>
      </c>
      <c r="K4" s="11" t="n">
        <v>0.38</v>
      </c>
      <c r="L4" s="12">
        <f>J4*K4</f>
        <v/>
      </c>
      <c r="M4" s="12">
        <f>L4/H4</f>
        <v/>
      </c>
      <c r="N4" s="9" t="inlineStr">
        <is>
          <t>免税</t>
        </is>
      </c>
      <c r="O4" s="8" t="inlineStr">
        <is>
          <t>Cash</t>
        </is>
      </c>
    </row>
    <row r="5">
      <c r="A5" s="8" t="inlineStr">
        <is>
          <t>D4-17</t>
        </is>
      </c>
      <c r="B5" s="9" t="n">
        <v>4</v>
      </c>
      <c r="C5" s="8" t="inlineStr">
        <is>
          <t>30-Jul-2026</t>
        </is>
      </c>
      <c r="D5" s="8" t="inlineStr">
        <is>
          <t>スニーダンクトレカ 秋葉原店 19:52</t>
        </is>
      </c>
      <c r="E5" s="8" t="inlineStr">
        <is>
          <t>Snorlax 1st Ed — PSA 10</t>
        </is>
      </c>
      <c r="F5" s="8" t="inlineStr">
        <is>
          <t>カビゴン(1ED) PSA10 · C中古</t>
        </is>
      </c>
      <c r="G5" s="8" t="inlineStr">
        <is>
          <t>PSA Slab</t>
        </is>
      </c>
      <c r="H5" s="9" t="n">
        <v>1</v>
      </c>
      <c r="I5" s="10" t="n">
        <v>100000</v>
      </c>
      <c r="J5" s="10" t="n">
        <v>90909</v>
      </c>
      <c r="K5" s="11" t="n">
        <v>0.38</v>
      </c>
      <c r="L5" s="12">
        <f>J5*K5</f>
        <v/>
      </c>
      <c r="M5" s="12">
        <f>L5/H5</f>
        <v/>
      </c>
      <c r="N5" s="9" t="inlineStr">
        <is>
          <t>免税</t>
        </is>
      </c>
      <c r="O5" s="8" t="inlineStr">
        <is>
          <t>Cash + Mastercard (split)</t>
        </is>
      </c>
    </row>
    <row r="6">
      <c r="A6" s="8" t="inlineStr">
        <is>
          <t>D4-05</t>
        </is>
      </c>
      <c r="B6" s="9" t="n">
        <v>4</v>
      </c>
      <c r="C6" s="8" t="inlineStr">
        <is>
          <t>30-Jul-2026</t>
        </is>
      </c>
      <c r="D6" s="8" t="inlineStr">
        <is>
          <t>スニーダンクトレカ 秋葉原店 13:18</t>
        </is>
      </c>
      <c r="E6" s="8" t="inlineStr">
        <is>
          <t>Latias — graded</t>
        </is>
      </c>
      <c r="F6" s="8" t="inlineStr">
        <is>
          <t>ポケカ鑑定品-125中古 · PCG</t>
        </is>
      </c>
      <c r="G6" s="8" t="inlineStr">
        <is>
          <t>PSA Slab</t>
        </is>
      </c>
      <c r="H6" s="9" t="n">
        <v>1</v>
      </c>
      <c r="I6" s="10" t="n">
        <v>90000</v>
      </c>
      <c r="J6" s="10" t="n">
        <v>81818</v>
      </c>
      <c r="K6" s="11" t="n">
        <v>0.38</v>
      </c>
      <c r="L6" s="12">
        <f>J6*K6</f>
        <v/>
      </c>
      <c r="M6" s="12">
        <f>L6/H6</f>
        <v/>
      </c>
      <c r="N6" s="9" t="inlineStr">
        <is>
          <t>免税</t>
        </is>
      </c>
      <c r="O6" s="8" t="inlineStr">
        <is>
          <t>Cash</t>
        </is>
      </c>
    </row>
    <row r="7">
      <c r="A7" s="8" t="inlineStr">
        <is>
          <t>D4-06</t>
        </is>
      </c>
      <c r="B7" s="9" t="n">
        <v>4</v>
      </c>
      <c r="C7" s="8" t="inlineStr">
        <is>
          <t>30-Jul-2026</t>
        </is>
      </c>
      <c r="D7" s="8" t="inlineStr">
        <is>
          <t>スニーダンクトレカ 秋葉原店 13:18</t>
        </is>
      </c>
      <c r="E7" s="8" t="inlineStr">
        <is>
          <t>Latios — graded</t>
        </is>
      </c>
      <c r="F7" s="8" t="inlineStr">
        <is>
          <t>ポケカ鑑定品-125中古 · PCG</t>
        </is>
      </c>
      <c r="G7" s="8" t="inlineStr">
        <is>
          <t>PSA Slab</t>
        </is>
      </c>
      <c r="H7" s="9" t="n">
        <v>1</v>
      </c>
      <c r="I7" s="10" t="n">
        <v>80000</v>
      </c>
      <c r="J7" s="10" t="n">
        <v>72728</v>
      </c>
      <c r="K7" s="11" t="n">
        <v>0.38</v>
      </c>
      <c r="L7" s="12">
        <f>J7*K7</f>
        <v/>
      </c>
      <c r="M7" s="12">
        <f>L7/H7</f>
        <v/>
      </c>
      <c r="N7" s="9" t="inlineStr">
        <is>
          <t>免税</t>
        </is>
      </c>
      <c r="O7" s="8" t="inlineStr">
        <is>
          <t>Cash</t>
        </is>
      </c>
    </row>
    <row r="8">
      <c r="A8" s="8" t="inlineStr">
        <is>
          <t>D1-08</t>
        </is>
      </c>
      <c r="B8" s="9" t="n">
        <v>1</v>
      </c>
      <c r="C8" s="8" t="inlineStr">
        <is>
          <t>27-Jul-2026</t>
        </is>
      </c>
      <c r="D8" s="8" t="inlineStr">
        <is>
          <t>SNKRDUNK Toreca Akihabara</t>
        </is>
      </c>
      <c r="E8" s="8" t="inlineStr">
        <is>
          <t>Luffy Elbaf</t>
        </is>
      </c>
      <c r="F8" s="8" t="inlineStr">
        <is>
          <t>One Piece Day promo · PSA 10</t>
        </is>
      </c>
      <c r="G8" s="8" t="inlineStr">
        <is>
          <t>PSA Slab</t>
        </is>
      </c>
      <c r="H8" s="9" t="n">
        <v>1</v>
      </c>
      <c r="I8" s="10" t="n">
        <v>55000</v>
      </c>
      <c r="J8" s="10" t="n">
        <v>50000</v>
      </c>
      <c r="K8" s="11" t="n">
        <v>0.38</v>
      </c>
      <c r="L8" s="12">
        <f>J8*K8</f>
        <v/>
      </c>
      <c r="M8" s="12">
        <f>L8/H8</f>
        <v/>
      </c>
      <c r="N8" s="9" t="inlineStr">
        <is>
          <t>免税</t>
        </is>
      </c>
      <c r="O8" s="8" t="inlineStr">
        <is>
          <t>Cash (via Nico, repaid)</t>
        </is>
      </c>
    </row>
    <row r="9">
      <c r="A9" s="8" t="inlineStr">
        <is>
          <t>D4-18</t>
        </is>
      </c>
      <c r="B9" s="9" t="n">
        <v>4</v>
      </c>
      <c r="C9" s="8" t="inlineStr">
        <is>
          <t>30-Jul-2026</t>
        </is>
      </c>
      <c r="D9" s="8" t="inlineStr">
        <is>
          <t>スニーダンクトレカ 秋葉原店 19:52</t>
        </is>
      </c>
      <c r="E9" s="8" t="inlineStr">
        <is>
          <t>Snorlax promo — PSA 10</t>
        </is>
      </c>
      <c r="F9" s="8" t="inlineStr">
        <is>
          <t>カビゴン PSA10 (PR) · 中古</t>
        </is>
      </c>
      <c r="G9" s="8" t="inlineStr">
        <is>
          <t>PSA Slab</t>
        </is>
      </c>
      <c r="H9" s="9" t="n">
        <v>1</v>
      </c>
      <c r="I9" s="10" t="n">
        <v>35000</v>
      </c>
      <c r="J9" s="10" t="n">
        <v>31818</v>
      </c>
      <c r="K9" s="11" t="n">
        <v>0.38</v>
      </c>
      <c r="L9" s="12">
        <f>J9*K9</f>
        <v/>
      </c>
      <c r="M9" s="12">
        <f>L9/H9</f>
        <v/>
      </c>
      <c r="N9" s="9" t="inlineStr">
        <is>
          <t>免税</t>
        </is>
      </c>
      <c r="O9" s="8" t="inlineStr">
        <is>
          <t>Cash + Mastercard (split)</t>
        </is>
      </c>
    </row>
    <row r="10">
      <c r="A10" s="8" t="inlineStr">
        <is>
          <t>D1-10</t>
        </is>
      </c>
      <c r="B10" s="9" t="n">
        <v>1</v>
      </c>
      <c r="C10" s="8" t="inlineStr">
        <is>
          <t>27-Jul-2026</t>
        </is>
      </c>
      <c r="D10" s="8" t="inlineStr">
        <is>
          <t>SNKRDUNK Toreca Akihabara</t>
        </is>
      </c>
      <c r="E10" s="8" t="inlineStr">
        <is>
          <t>Squirtle SVG #52</t>
        </is>
      </c>
      <c r="F10" s="8" t="inlineStr">
        <is>
          <t>Pokémon · PSA 10</t>
        </is>
      </c>
      <c r="G10" s="8" t="inlineStr">
        <is>
          <t>PSA Slab</t>
        </is>
      </c>
      <c r="H10" s="9" t="n">
        <v>1</v>
      </c>
      <c r="I10" s="10" t="n">
        <v>28000</v>
      </c>
      <c r="J10" s="10" t="n">
        <v>25455</v>
      </c>
      <c r="K10" s="11" t="n">
        <v>0.38</v>
      </c>
      <c r="L10" s="12">
        <f>J10*K10</f>
        <v/>
      </c>
      <c r="M10" s="12">
        <f>L10/H10</f>
        <v/>
      </c>
      <c r="N10" s="9" t="inlineStr">
        <is>
          <t>免税</t>
        </is>
      </c>
      <c r="O10" s="8" t="inlineStr">
        <is>
          <t>Cash (via Nico, repaid)</t>
        </is>
      </c>
    </row>
    <row r="11">
      <c r="A11" s="8" t="inlineStr">
        <is>
          <t>D2-13</t>
        </is>
      </c>
      <c r="B11" s="9" t="n">
        <v>2</v>
      </c>
      <c r="C11" s="8" t="inlineStr">
        <is>
          <t>28-Jul-2026</t>
        </is>
      </c>
      <c r="D11" s="8" t="inlineStr">
        <is>
          <t>シンソク新宿店 18:53</t>
        </is>
      </c>
      <c r="E11" s="8" t="inlineStr">
        <is>
          <t>Bulbasaur — AR spec</t>
        </is>
      </c>
      <c r="F11" s="8" t="inlineStr">
        <is>
          <t>フシギダネ AR仕様 · PSA 10</t>
        </is>
      </c>
      <c r="G11" s="8" t="inlineStr">
        <is>
          <t>PSA Slab</t>
        </is>
      </c>
      <c r="H11" s="9" t="n">
        <v>1</v>
      </c>
      <c r="I11" s="10" t="n">
        <v>27800</v>
      </c>
      <c r="J11" s="10" t="n">
        <v>25273</v>
      </c>
      <c r="K11" s="11" t="n">
        <v>0.38</v>
      </c>
      <c r="L11" s="12">
        <f>J11*K11</f>
        <v/>
      </c>
      <c r="M11" s="12">
        <f>L11/H11</f>
        <v/>
      </c>
      <c r="N11" s="9" t="inlineStr">
        <is>
          <t>免税</t>
        </is>
      </c>
      <c r="O11" s="8" t="inlineStr">
        <is>
          <t>JCB 1608</t>
        </is>
      </c>
    </row>
    <row r="12">
      <c r="A12" s="8" t="inlineStr">
        <is>
          <t>D1-09</t>
        </is>
      </c>
      <c r="B12" s="9" t="n">
        <v>1</v>
      </c>
      <c r="C12" s="8" t="inlineStr">
        <is>
          <t>27-Jul-2026</t>
        </is>
      </c>
      <c r="D12" s="8" t="inlineStr">
        <is>
          <t>SNKRDUNK Toreca Akihabara</t>
        </is>
      </c>
      <c r="E12" s="8" t="inlineStr">
        <is>
          <t>Eevee Promo</t>
        </is>
      </c>
      <c r="F12" s="8" t="inlineStr">
        <is>
          <t>Prismatic Evolutions ETB · PSA 10</t>
        </is>
      </c>
      <c r="G12" s="8" t="inlineStr">
        <is>
          <t>PSA Slab</t>
        </is>
      </c>
      <c r="H12" s="9" t="n">
        <v>1</v>
      </c>
      <c r="I12" s="10" t="n">
        <v>20000</v>
      </c>
      <c r="J12" s="10" t="n">
        <v>18182</v>
      </c>
      <c r="K12" s="11" t="n">
        <v>0.38</v>
      </c>
      <c r="L12" s="12">
        <f>J12*K12</f>
        <v/>
      </c>
      <c r="M12" s="12">
        <f>L12/H12</f>
        <v/>
      </c>
      <c r="N12" s="9" t="inlineStr">
        <is>
          <t>免税</t>
        </is>
      </c>
      <c r="O12" s="8" t="inlineStr">
        <is>
          <t>Cash (via Nico, repaid)</t>
        </is>
      </c>
    </row>
    <row r="13">
      <c r="A13" s="8" t="inlineStr">
        <is>
          <t>D2-17</t>
        </is>
      </c>
      <c r="B13" s="9" t="n">
        <v>2</v>
      </c>
      <c r="C13" s="8" t="inlineStr">
        <is>
          <t>28-Jul-2026</t>
        </is>
      </c>
      <c r="D13" s="8" t="inlineStr">
        <is>
          <t>シンソク新宿店 18:53</t>
        </is>
      </c>
      <c r="E13" s="8" t="inlineStr">
        <is>
          <t>Regigigas</t>
        </is>
      </c>
      <c r="F13" s="8" t="inlineStr">
        <is>
          <t>レジギガス · PSA 10</t>
        </is>
      </c>
      <c r="G13" s="8" t="inlineStr">
        <is>
          <t>PSA Slab</t>
        </is>
      </c>
      <c r="H13" s="9" t="n">
        <v>1</v>
      </c>
      <c r="I13" s="10" t="n">
        <v>19800</v>
      </c>
      <c r="J13" s="10" t="n">
        <v>18000</v>
      </c>
      <c r="K13" s="11" t="n">
        <v>0.38</v>
      </c>
      <c r="L13" s="12">
        <f>J13*K13</f>
        <v/>
      </c>
      <c r="M13" s="12">
        <f>L13/H13</f>
        <v/>
      </c>
      <c r="N13" s="9" t="inlineStr">
        <is>
          <t>免税</t>
        </is>
      </c>
      <c r="O13" s="8" t="inlineStr">
        <is>
          <t>JCB 1608</t>
        </is>
      </c>
    </row>
    <row r="14">
      <c r="A14" s="8" t="inlineStr">
        <is>
          <t>D2-18</t>
        </is>
      </c>
      <c r="B14" s="9" t="n">
        <v>2</v>
      </c>
      <c r="C14" s="8" t="inlineStr">
        <is>
          <t>28-Jul-2026</t>
        </is>
      </c>
      <c r="D14" s="8" t="inlineStr">
        <is>
          <t>シンソク新宿店 18:53</t>
        </is>
      </c>
      <c r="E14" s="8" t="inlineStr">
        <is>
          <t>Oshawott</t>
        </is>
      </c>
      <c r="F14" s="8" t="inlineStr">
        <is>
          <t>ミジュマル · PSA 10</t>
        </is>
      </c>
      <c r="G14" s="8" t="inlineStr">
        <is>
          <t>PSA Slab</t>
        </is>
      </c>
      <c r="H14" s="9" t="n">
        <v>1</v>
      </c>
      <c r="I14" s="10" t="n">
        <v>14800</v>
      </c>
      <c r="J14" s="10" t="n">
        <v>13455</v>
      </c>
      <c r="K14" s="11" t="n">
        <v>0.38</v>
      </c>
      <c r="L14" s="12">
        <f>J14*K14</f>
        <v/>
      </c>
      <c r="M14" s="12">
        <f>L14/H14</f>
        <v/>
      </c>
      <c r="N14" s="9" t="inlineStr">
        <is>
          <t>免税</t>
        </is>
      </c>
      <c r="O14" s="8" t="inlineStr">
        <is>
          <t>JCB 1608</t>
        </is>
      </c>
    </row>
    <row r="15">
      <c r="A15" s="8" t="inlineStr">
        <is>
          <t>D2-19</t>
        </is>
      </c>
      <c r="B15" s="9" t="n">
        <v>2</v>
      </c>
      <c r="C15" s="8" t="inlineStr">
        <is>
          <t>28-Jul-2026</t>
        </is>
      </c>
      <c r="D15" s="8" t="inlineStr">
        <is>
          <t>シンソク新宿店 18:53</t>
        </is>
      </c>
      <c r="E15" s="8" t="inlineStr">
        <is>
          <t>Alakazam AR + Electivire AR</t>
        </is>
      </c>
      <c r="F15" s="8" t="inlineStr">
        <is>
          <t>PSA10保証 AR以上 · both PSA 10</t>
        </is>
      </c>
      <c r="G15" s="8" t="inlineStr">
        <is>
          <t>PSA Slab</t>
        </is>
      </c>
      <c r="H15" s="9" t="n">
        <v>2</v>
      </c>
      <c r="I15" s="10" t="n">
        <v>10560</v>
      </c>
      <c r="J15" s="10" t="n">
        <v>9600</v>
      </c>
      <c r="K15" s="11" t="n">
        <v>0.38</v>
      </c>
      <c r="L15" s="12">
        <f>J15*K15</f>
        <v/>
      </c>
      <c r="M15" s="12">
        <f>L15/H15</f>
        <v/>
      </c>
      <c r="N15" s="9" t="inlineStr">
        <is>
          <t>免税</t>
        </is>
      </c>
      <c r="O15" s="8" t="inlineStr">
        <is>
          <t>JCB 1608</t>
        </is>
      </c>
    </row>
    <row r="16">
      <c r="A16" s="8" t="inlineStr">
        <is>
          <t>D1-01</t>
        </is>
      </c>
      <c r="B16" s="9" t="n">
        <v>1</v>
      </c>
      <c r="C16" s="8" t="inlineStr">
        <is>
          <t>27-Jul-2026</t>
        </is>
      </c>
      <c r="D16" s="8" t="inlineStr">
        <is>
          <t>woorth Akihabara</t>
        </is>
      </c>
      <c r="E16" s="8" t="inlineStr">
        <is>
          <t>Clefairy AR</t>
        </is>
      </c>
      <c r="F16" s="8" t="inlineStr">
        <is>
          <t>M3 086/080 · PSA 10</t>
        </is>
      </c>
      <c r="G16" s="8" t="inlineStr">
        <is>
          <t>PSA Slab</t>
        </is>
      </c>
      <c r="H16" s="9" t="n">
        <v>1</v>
      </c>
      <c r="I16" s="10" t="n">
        <v>8980</v>
      </c>
      <c r="J16" s="10" t="n">
        <v>8980</v>
      </c>
      <c r="K16" s="11" t="n">
        <v>0.38</v>
      </c>
      <c r="L16" s="12">
        <f>J16*K16</f>
        <v/>
      </c>
      <c r="M16" s="12">
        <f>L16/H16</f>
        <v/>
      </c>
      <c r="N16" s="9" t="inlineStr">
        <is>
          <t>税込</t>
        </is>
      </c>
      <c r="O16" s="8" t="inlineStr">
        <is>
          <t>Mastercard 4170</t>
        </is>
      </c>
    </row>
    <row r="17">
      <c r="A17" s="13" t="inlineStr">
        <is>
          <t>Subtotal — PSA Slab</t>
        </is>
      </c>
      <c r="B17" s="14" t="n"/>
      <c r="C17" s="14" t="n"/>
      <c r="D17" s="14" t="n"/>
      <c r="E17" s="14" t="n"/>
      <c r="F17" s="14" t="n"/>
      <c r="G17" s="14" t="n"/>
      <c r="H17" s="15">
        <f>SUM(H3:H16)</f>
        <v/>
      </c>
      <c r="I17" s="15">
        <f>SUM(I3:I16)</f>
        <v/>
      </c>
      <c r="J17" s="15">
        <f>SUM(J3:J16)</f>
        <v/>
      </c>
      <c r="K17" s="14" t="n"/>
      <c r="L17" s="16">
        <f>SUM(L3:L16)</f>
        <v/>
      </c>
      <c r="M17" s="14" t="n"/>
      <c r="N17" s="14" t="n"/>
      <c r="O17" s="14" t="n"/>
    </row>
    <row r="19">
      <c r="A19" s="6" t="inlineStr">
        <is>
          <t>SEALED  —  16 lines, 60 items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8" t="inlineStr">
        <is>
          <t>D2-01</t>
        </is>
      </c>
      <c r="B20" s="9" t="n">
        <v>2</v>
      </c>
      <c r="C20" s="8" t="inlineStr">
        <is>
          <t>28-Jul-2026</t>
        </is>
      </c>
      <c r="D20" s="8" t="inlineStr">
        <is>
          <t>シンソク新宿店 18:45</t>
        </is>
      </c>
      <c r="E20" s="8" t="inlineStr">
        <is>
          <t>Pokémon Stamp Box</t>
        </is>
      </c>
      <c r="F20" s="8" t="inlineStr">
        <is>
          <t>ポケモン切手BOX · sealed</t>
        </is>
      </c>
      <c r="G20" s="8" t="inlineStr">
        <is>
          <t>Sealed</t>
        </is>
      </c>
      <c r="H20" s="9" t="n">
        <v>1</v>
      </c>
      <c r="I20" s="10" t="n">
        <v>528000</v>
      </c>
      <c r="J20" s="10" t="n">
        <v>480000</v>
      </c>
      <c r="K20" s="11" t="n">
        <v>0.38</v>
      </c>
      <c r="L20" s="12">
        <f>J20*K20</f>
        <v/>
      </c>
      <c r="M20" s="12">
        <f>L20/H20</f>
        <v/>
      </c>
      <c r="N20" s="9" t="inlineStr">
        <is>
          <t>免税</t>
        </is>
      </c>
      <c r="O20" s="8" t="inlineStr">
        <is>
          <t>Cash</t>
        </is>
      </c>
    </row>
    <row r="21">
      <c r="A21" s="8" t="inlineStr">
        <is>
          <t>D4-04</t>
        </is>
      </c>
      <c r="B21" s="9" t="n">
        <v>4</v>
      </c>
      <c r="C21" s="8" t="inlineStr">
        <is>
          <t>30-Jul-2026</t>
        </is>
      </c>
      <c r="D21" s="8" t="inlineStr">
        <is>
          <t>スニーダンクトレカ 秋葉原店 14:51</t>
        </is>
      </c>
      <c r="E21" s="8" t="inlineStr">
        <is>
          <t>MEGA Dream ex ×10 — high-class boxes</t>
        </is>
      </c>
      <c r="F21" s="8" t="inlineStr">
        <is>
          <t>¥16,000 each · 中古</t>
        </is>
      </c>
      <c r="G21" s="8" t="inlineStr">
        <is>
          <t>Sealed</t>
        </is>
      </c>
      <c r="H21" s="9" t="n">
        <v>10</v>
      </c>
      <c r="I21" s="10" t="n">
        <v>160000</v>
      </c>
      <c r="J21" s="10" t="n">
        <v>145455</v>
      </c>
      <c r="K21" s="11" t="n">
        <v>0.38</v>
      </c>
      <c r="L21" s="12">
        <f>J21*K21</f>
        <v/>
      </c>
      <c r="M21" s="12">
        <f>L21/H21</f>
        <v/>
      </c>
      <c r="N21" s="9" t="inlineStr">
        <is>
          <t>免税</t>
        </is>
      </c>
      <c r="O21" s="8" t="inlineStr">
        <is>
          <t>Mastercard</t>
        </is>
      </c>
    </row>
    <row r="22">
      <c r="A22" s="8" t="inlineStr">
        <is>
          <t>D4-01</t>
        </is>
      </c>
      <c r="B22" s="9" t="n">
        <v>4</v>
      </c>
      <c r="C22" s="8" t="inlineStr">
        <is>
          <t>30-Jul-2026</t>
        </is>
      </c>
      <c r="D22" s="8" t="inlineStr">
        <is>
          <t>シンソク秋葉原2号店</t>
        </is>
      </c>
      <c r="E22" s="8" t="inlineStr">
        <is>
          <t>Black Bolt Deluxe ×4 — booster boxes</t>
        </is>
      </c>
      <c r="F22" s="8" t="inlineStr">
        <is>
          <t>SV11B · ¥29,500 each</t>
        </is>
      </c>
      <c r="G22" s="8" t="inlineStr">
        <is>
          <t>Sealed</t>
        </is>
      </c>
      <c r="H22" s="9" t="n">
        <v>4</v>
      </c>
      <c r="I22" s="10" t="n">
        <v>118000</v>
      </c>
      <c r="J22" s="10" t="n">
        <v>107273</v>
      </c>
      <c r="K22" s="11" t="n">
        <v>0.38</v>
      </c>
      <c r="L22" s="12">
        <f>J22*K22</f>
        <v/>
      </c>
      <c r="M22" s="12">
        <f>L22/H22</f>
        <v/>
      </c>
      <c r="N22" s="9" t="inlineStr">
        <is>
          <t>免税</t>
        </is>
      </c>
      <c r="O22" s="8" t="inlineStr">
        <is>
          <t>Cash</t>
        </is>
      </c>
    </row>
    <row r="23">
      <c r="A23" s="8" t="inlineStr">
        <is>
          <t>D4-02</t>
        </is>
      </c>
      <c r="B23" s="9" t="n">
        <v>4</v>
      </c>
      <c r="C23" s="8" t="inlineStr">
        <is>
          <t>30-Jul-2026</t>
        </is>
      </c>
      <c r="D23" s="8" t="inlineStr">
        <is>
          <t>シンソク秋葉原2号店</t>
        </is>
      </c>
      <c r="E23" s="8" t="inlineStr">
        <is>
          <t>MEGA Dream ex ×6 — high-class boxes</t>
        </is>
      </c>
      <c r="F23" s="8" t="inlineStr">
        <is>
          <t>M2a · ¥15,200 each</t>
        </is>
      </c>
      <c r="G23" s="8" t="inlineStr">
        <is>
          <t>Sealed</t>
        </is>
      </c>
      <c r="H23" s="9" t="n">
        <v>6</v>
      </c>
      <c r="I23" s="10" t="n">
        <v>91200</v>
      </c>
      <c r="J23" s="10" t="n">
        <v>82909</v>
      </c>
      <c r="K23" s="11" t="n">
        <v>0.38</v>
      </c>
      <c r="L23" s="12">
        <f>J23*K23</f>
        <v/>
      </c>
      <c r="M23" s="12">
        <f>L23/H23</f>
        <v/>
      </c>
      <c r="N23" s="9" t="inlineStr">
        <is>
          <t>免税</t>
        </is>
      </c>
      <c r="O23" s="8" t="inlineStr">
        <is>
          <t>Cash</t>
        </is>
      </c>
    </row>
    <row r="24">
      <c r="A24" s="8" t="inlineStr">
        <is>
          <t>D6-01</t>
        </is>
      </c>
      <c r="B24" s="9" t="n">
        <v>6</v>
      </c>
      <c r="C24" s="8" t="inlineStr">
        <is>
          <t>01-Aug-2026</t>
        </is>
      </c>
      <c r="D24" s="8" t="inlineStr">
        <is>
          <t>AMTAF 日本橋</t>
        </is>
      </c>
      <c r="E24" s="8" t="inlineStr">
        <is>
          <t>Abyss Eye ×9 — sealed boxes</t>
        </is>
      </c>
      <c r="F24" s="8" t="inlineStr">
        <is>
          <t>M5 · ¥8,910 each</t>
        </is>
      </c>
      <c r="G24" s="8" t="inlineStr">
        <is>
          <t>Sealed</t>
        </is>
      </c>
      <c r="H24" s="9" t="n">
        <v>9</v>
      </c>
      <c r="I24" s="10" t="n">
        <v>80190</v>
      </c>
      <c r="J24" s="10" t="n">
        <v>72900</v>
      </c>
      <c r="K24" s="11" t="n">
        <v>0.385</v>
      </c>
      <c r="L24" s="12">
        <f>J24*K24</f>
        <v/>
      </c>
      <c r="M24" s="12">
        <f>L24/H24</f>
        <v/>
      </c>
      <c r="N24" s="9" t="inlineStr">
        <is>
          <t>免税</t>
        </is>
      </c>
      <c r="O24" s="8" t="inlineStr">
        <is>
          <t>Cash</t>
        </is>
      </c>
    </row>
    <row r="25">
      <c r="A25" s="8" t="inlineStr">
        <is>
          <t>D4-19</t>
        </is>
      </c>
      <c r="B25" s="9" t="n">
        <v>4</v>
      </c>
      <c r="C25" s="8" t="inlineStr">
        <is>
          <t>30-Jul-2026</t>
        </is>
      </c>
      <c r="D25" s="8" t="inlineStr">
        <is>
          <t>スニーダンクトレカ 秋葉原店 20:05</t>
        </is>
      </c>
      <c r="E25" s="8" t="inlineStr">
        <is>
          <t>MEGA Dream ex ×5 — high-class boxes</t>
        </is>
      </c>
      <c r="F25" s="8" t="inlineStr">
        <is>
          <t>¥16,000 each · 中古</t>
        </is>
      </c>
      <c r="G25" s="8" t="inlineStr">
        <is>
          <t>Sealed</t>
        </is>
      </c>
      <c r="H25" s="9" t="n">
        <v>5</v>
      </c>
      <c r="I25" s="10" t="n">
        <v>80000</v>
      </c>
      <c r="J25" s="10" t="n">
        <v>72727</v>
      </c>
      <c r="K25" s="11" t="n">
        <v>0.38</v>
      </c>
      <c r="L25" s="12">
        <f>J25*K25</f>
        <v/>
      </c>
      <c r="M25" s="12">
        <f>L25/H25</f>
        <v/>
      </c>
      <c r="N25" s="9" t="inlineStr">
        <is>
          <t>免税</t>
        </is>
      </c>
      <c r="O25" s="8" t="inlineStr">
        <is>
          <t>Mastercard</t>
        </is>
      </c>
    </row>
    <row r="26">
      <c r="A26" s="8" t="inlineStr">
        <is>
          <t>D6-02</t>
        </is>
      </c>
      <c r="B26" s="9" t="n">
        <v>6</v>
      </c>
      <c r="C26" s="8" t="inlineStr">
        <is>
          <t>01-Aug-2026</t>
        </is>
      </c>
      <c r="D26" s="8" t="inlineStr">
        <is>
          <t>AMTAF 日本橋</t>
        </is>
      </c>
      <c r="E26" s="8" t="inlineStr">
        <is>
          <t>Nihil Zero Munikis ×8 — sealed boxes</t>
        </is>
      </c>
      <c r="F26" s="8" t="inlineStr">
        <is>
          <t>M3 · ¥9,240 each</t>
        </is>
      </c>
      <c r="G26" s="8" t="inlineStr">
        <is>
          <t>Sealed</t>
        </is>
      </c>
      <c r="H26" s="9" t="n">
        <v>8</v>
      </c>
      <c r="I26" s="10" t="n">
        <v>73920</v>
      </c>
      <c r="J26" s="10" t="n">
        <v>67200</v>
      </c>
      <c r="K26" s="11" t="n">
        <v>0.385</v>
      </c>
      <c r="L26" s="12">
        <f>J26*K26</f>
        <v/>
      </c>
      <c r="M26" s="12">
        <f>L26/H26</f>
        <v/>
      </c>
      <c r="N26" s="9" t="inlineStr">
        <is>
          <t>免税</t>
        </is>
      </c>
      <c r="O26" s="8" t="inlineStr">
        <is>
          <t>Cash</t>
        </is>
      </c>
    </row>
    <row r="27">
      <c r="A27" s="8" t="inlineStr">
        <is>
          <t>D6-03</t>
        </is>
      </c>
      <c r="B27" s="9" t="n">
        <v>6</v>
      </c>
      <c r="C27" s="8" t="inlineStr">
        <is>
          <t>01-Aug-2026</t>
        </is>
      </c>
      <c r="D27" s="8" t="inlineStr">
        <is>
          <t>AMTAF 日本橋</t>
        </is>
      </c>
      <c r="E27" s="8" t="inlineStr">
        <is>
          <t>Ninja Spinner ×5 — sealed boxes</t>
        </is>
      </c>
      <c r="F27" s="8" t="inlineStr">
        <is>
          <t>M4 · ¥10,670 each</t>
        </is>
      </c>
      <c r="G27" s="8" t="inlineStr">
        <is>
          <t>Sealed</t>
        </is>
      </c>
      <c r="H27" s="9" t="n">
        <v>5</v>
      </c>
      <c r="I27" s="10" t="n">
        <v>53350</v>
      </c>
      <c r="J27" s="10" t="n">
        <v>48400</v>
      </c>
      <c r="K27" s="11" t="n">
        <v>0.385</v>
      </c>
      <c r="L27" s="12">
        <f>J27*K27</f>
        <v/>
      </c>
      <c r="M27" s="12">
        <f>L27/H27</f>
        <v/>
      </c>
      <c r="N27" s="9" t="inlineStr">
        <is>
          <t>免税</t>
        </is>
      </c>
      <c r="O27" s="8" t="inlineStr">
        <is>
          <t>Cash</t>
        </is>
      </c>
    </row>
    <row r="28">
      <c r="A28" s="8" t="inlineStr">
        <is>
          <t>D4-20</t>
        </is>
      </c>
      <c r="B28" s="9" t="n">
        <v>4</v>
      </c>
      <c r="C28" s="8" t="inlineStr">
        <is>
          <t>30-Jul-2026</t>
        </is>
      </c>
      <c r="D28" s="8" t="inlineStr">
        <is>
          <t>スニーダンクトレカ 秋葉原店 20:05</t>
        </is>
      </c>
      <c r="E28" s="8" t="inlineStr">
        <is>
          <t>Nihil Zero Munikis ×4 — boxes</t>
        </is>
      </c>
      <c r="F28" s="8" t="inlineStr">
        <is>
          <t>¥9,800 each · 中古</t>
        </is>
      </c>
      <c r="G28" s="8" t="inlineStr">
        <is>
          <t>Sealed</t>
        </is>
      </c>
      <c r="H28" s="9" t="n">
        <v>4</v>
      </c>
      <c r="I28" s="10" t="n">
        <v>39200</v>
      </c>
      <c r="J28" s="10" t="n">
        <v>35637</v>
      </c>
      <c r="K28" s="11" t="n">
        <v>0.38</v>
      </c>
      <c r="L28" s="12">
        <f>J28*K28</f>
        <v/>
      </c>
      <c r="M28" s="12">
        <f>L28/H28</f>
        <v/>
      </c>
      <c r="N28" s="9" t="inlineStr">
        <is>
          <t>免税</t>
        </is>
      </c>
      <c r="O28" s="8" t="inlineStr">
        <is>
          <t>Mastercard</t>
        </is>
      </c>
    </row>
    <row r="29">
      <c r="A29" s="8" t="inlineStr">
        <is>
          <t>D2-14</t>
        </is>
      </c>
      <c r="B29" s="9" t="n">
        <v>2</v>
      </c>
      <c r="C29" s="8" t="inlineStr">
        <is>
          <t>28-Jul-2026</t>
        </is>
      </c>
      <c r="D29" s="8" t="inlineStr">
        <is>
          <t>シンソク新宿店 18:53</t>
        </is>
      </c>
      <c r="E29" s="8" t="inlineStr">
        <is>
          <t>Black Bolt Deluxe — booster box</t>
        </is>
      </c>
      <c r="F29" s="8" t="inlineStr">
        <is>
          <t>拡張パックデラックス SV11B</t>
        </is>
      </c>
      <c r="G29" s="8" t="inlineStr">
        <is>
          <t>Sealed</t>
        </is>
      </c>
      <c r="H29" s="9" t="n">
        <v>1</v>
      </c>
      <c r="I29" s="10" t="n">
        <v>28000</v>
      </c>
      <c r="J29" s="10" t="n">
        <v>25455</v>
      </c>
      <c r="K29" s="11" t="n">
        <v>0.38</v>
      </c>
      <c r="L29" s="12">
        <f>J29*K29</f>
        <v/>
      </c>
      <c r="M29" s="12">
        <f>L29/H29</f>
        <v/>
      </c>
      <c r="N29" s="9" t="inlineStr">
        <is>
          <t>免税</t>
        </is>
      </c>
      <c r="O29" s="8" t="inlineStr">
        <is>
          <t>JCB 1608</t>
        </is>
      </c>
    </row>
    <row r="30">
      <c r="A30" s="8" t="inlineStr">
        <is>
          <t>D4-03</t>
        </is>
      </c>
      <c r="B30" s="9" t="n">
        <v>4</v>
      </c>
      <c r="C30" s="8" t="inlineStr">
        <is>
          <t>30-Jul-2026</t>
        </is>
      </c>
      <c r="D30" s="8" t="inlineStr">
        <is>
          <t>シンソク秋葉原2号店</t>
        </is>
      </c>
      <c r="E30" s="8" t="inlineStr">
        <is>
          <t>Mega Brave ×2 — booster boxes</t>
        </is>
      </c>
      <c r="F30" s="8" t="inlineStr">
        <is>
          <t>M1L · ¥13,500 each</t>
        </is>
      </c>
      <c r="G30" s="8" t="inlineStr">
        <is>
          <t>Sealed</t>
        </is>
      </c>
      <c r="H30" s="9" t="n">
        <v>2</v>
      </c>
      <c r="I30" s="10" t="n">
        <v>27000</v>
      </c>
      <c r="J30" s="10" t="n">
        <v>24548</v>
      </c>
      <c r="K30" s="11" t="n">
        <v>0.38</v>
      </c>
      <c r="L30" s="12">
        <f>J30*K30</f>
        <v/>
      </c>
      <c r="M30" s="12">
        <f>L30/H30</f>
        <v/>
      </c>
      <c r="N30" s="9" t="inlineStr">
        <is>
          <t>免税</t>
        </is>
      </c>
      <c r="O30" s="8" t="inlineStr">
        <is>
          <t>Cash</t>
        </is>
      </c>
    </row>
    <row r="31">
      <c r="A31" s="8" t="inlineStr">
        <is>
          <t>D4-21</t>
        </is>
      </c>
      <c r="B31" s="9" t="n">
        <v>4</v>
      </c>
      <c r="C31" s="8" t="inlineStr">
        <is>
          <t>30-Jul-2026</t>
        </is>
      </c>
      <c r="D31" s="8" t="inlineStr">
        <is>
          <t>カードコレクト HANARE</t>
        </is>
      </c>
      <c r="E31" s="8" t="inlineStr">
        <is>
          <t>Black Bolt — sealed box</t>
        </is>
      </c>
      <c r="F31" s="8" t="inlineStr">
        <is>
          <t>SV11B · 未開封BOX</t>
        </is>
      </c>
      <c r="G31" s="8" t="inlineStr">
        <is>
          <t>Sealed</t>
        </is>
      </c>
      <c r="H31" s="9" t="n">
        <v>1</v>
      </c>
      <c r="I31" s="10" t="n">
        <v>25800</v>
      </c>
      <c r="J31" s="10" t="n">
        <v>23455</v>
      </c>
      <c r="K31" s="11" t="n">
        <v>0.38</v>
      </c>
      <c r="L31" s="12">
        <f>J31*K31</f>
        <v/>
      </c>
      <c r="M31" s="12">
        <f>L31/H31</f>
        <v/>
      </c>
      <c r="N31" s="9" t="inlineStr">
        <is>
          <t>免税</t>
        </is>
      </c>
      <c r="O31" s="8" t="inlineStr">
        <is>
          <t>Cash</t>
        </is>
      </c>
    </row>
    <row r="32">
      <c r="A32" s="8" t="inlineStr">
        <is>
          <t>D2-15</t>
        </is>
      </c>
      <c r="B32" s="9" t="n">
        <v>2</v>
      </c>
      <c r="C32" s="8" t="inlineStr">
        <is>
          <t>28-Jul-2026</t>
        </is>
      </c>
      <c r="D32" s="8" t="inlineStr">
        <is>
          <t>シンソク新宿店 18:53</t>
        </is>
      </c>
      <c r="E32" s="8" t="inlineStr">
        <is>
          <t>White Flare Deluxe — booster box</t>
        </is>
      </c>
      <c r="F32" s="8" t="inlineStr">
        <is>
          <t>拡張パックデラックス SV11W</t>
        </is>
      </c>
      <c r="G32" s="8" t="inlineStr">
        <is>
          <t>Sealed</t>
        </is>
      </c>
      <c r="H32" s="9" t="n">
        <v>1</v>
      </c>
      <c r="I32" s="10" t="n">
        <v>25700</v>
      </c>
      <c r="J32" s="10" t="n">
        <v>23364</v>
      </c>
      <c r="K32" s="11" t="n">
        <v>0.38</v>
      </c>
      <c r="L32" s="12">
        <f>J32*K32</f>
        <v/>
      </c>
      <c r="M32" s="12">
        <f>L32/H32</f>
        <v/>
      </c>
      <c r="N32" s="9" t="inlineStr">
        <is>
          <t>免税</t>
        </is>
      </c>
      <c r="O32" s="8" t="inlineStr">
        <is>
          <t>JCB 1608</t>
        </is>
      </c>
    </row>
    <row r="33">
      <c r="A33" s="8" t="inlineStr">
        <is>
          <t>D2-16</t>
        </is>
      </c>
      <c r="B33" s="9" t="n">
        <v>2</v>
      </c>
      <c r="C33" s="8" t="inlineStr">
        <is>
          <t>28-Jul-2026</t>
        </is>
      </c>
      <c r="D33" s="8" t="inlineStr">
        <is>
          <t>シンソク新宿店 18:53</t>
        </is>
      </c>
      <c r="E33" s="8" t="inlineStr">
        <is>
          <t>White Flare — booster box</t>
        </is>
      </c>
      <c r="F33" s="8" t="inlineStr">
        <is>
          <t>拡張パック SV11W</t>
        </is>
      </c>
      <c r="G33" s="8" t="inlineStr">
        <is>
          <t>Sealed</t>
        </is>
      </c>
      <c r="H33" s="9" t="n">
        <v>1</v>
      </c>
      <c r="I33" s="10" t="n">
        <v>24500</v>
      </c>
      <c r="J33" s="10" t="n">
        <v>22273</v>
      </c>
      <c r="K33" s="11" t="n">
        <v>0.38</v>
      </c>
      <c r="L33" s="12">
        <f>J33*K33</f>
        <v/>
      </c>
      <c r="M33" s="12">
        <f>L33/H33</f>
        <v/>
      </c>
      <c r="N33" s="9" t="inlineStr">
        <is>
          <t>免税</t>
        </is>
      </c>
      <c r="O33" s="8" t="inlineStr">
        <is>
          <t>JCB 1608</t>
        </is>
      </c>
    </row>
    <row r="34">
      <c r="A34" s="8" t="inlineStr">
        <is>
          <t>D4-22</t>
        </is>
      </c>
      <c r="B34" s="9" t="n">
        <v>4</v>
      </c>
      <c r="C34" s="8" t="inlineStr">
        <is>
          <t>30-Jul-2026</t>
        </is>
      </c>
      <c r="D34" s="8" t="inlineStr">
        <is>
          <t>カードコレクト HANARE</t>
        </is>
      </c>
      <c r="E34" s="8" t="inlineStr">
        <is>
          <t>White Flare Deluxe — box</t>
        </is>
      </c>
      <c r="F34" s="8" t="inlineStr">
        <is>
          <t>スカーレット&amp;バイオレット</t>
        </is>
      </c>
      <c r="G34" s="8" t="inlineStr">
        <is>
          <t>Sealed</t>
        </is>
      </c>
      <c r="H34" s="9" t="n">
        <v>1</v>
      </c>
      <c r="I34" s="10" t="n">
        <v>23000</v>
      </c>
      <c r="J34" s="10" t="n">
        <v>20909</v>
      </c>
      <c r="K34" s="11" t="n">
        <v>0.38</v>
      </c>
      <c r="L34" s="12">
        <f>J34*K34</f>
        <v/>
      </c>
      <c r="M34" s="12">
        <f>L34/H34</f>
        <v/>
      </c>
      <c r="N34" s="9" t="inlineStr">
        <is>
          <t>免税</t>
        </is>
      </c>
      <c r="O34" s="8" t="inlineStr">
        <is>
          <t>Cash</t>
        </is>
      </c>
    </row>
    <row r="35">
      <c r="A35" s="8" t="inlineStr">
        <is>
          <t>D2-20</t>
        </is>
      </c>
      <c r="B35" s="9" t="n">
        <v>2</v>
      </c>
      <c r="C35" s="8" t="inlineStr">
        <is>
          <t>28-Jul-2026</t>
        </is>
      </c>
      <c r="D35" s="8" t="inlineStr">
        <is>
          <t>シンソク新宿店 18:57</t>
        </is>
      </c>
      <c r="E35" s="8" t="inlineStr">
        <is>
          <t>MEGA Dream ex — high-class box</t>
        </is>
      </c>
      <c r="F35" s="8" t="inlineStr">
        <is>
          <t>ハイクラスパック M2a</t>
        </is>
      </c>
      <c r="G35" s="8" t="inlineStr">
        <is>
          <t>Sealed</t>
        </is>
      </c>
      <c r="H35" s="9" t="n">
        <v>1</v>
      </c>
      <c r="I35" s="10" t="n">
        <v>15500</v>
      </c>
      <c r="J35" s="10" t="n">
        <v>14092</v>
      </c>
      <c r="K35" s="11" t="n">
        <v>0.38</v>
      </c>
      <c r="L35" s="12">
        <f>J35*K35</f>
        <v/>
      </c>
      <c r="M35" s="12">
        <f>L35/H35</f>
        <v/>
      </c>
      <c r="N35" s="9" t="inlineStr">
        <is>
          <t>免税</t>
        </is>
      </c>
      <c r="O35" s="8" t="inlineStr">
        <is>
          <t>JCB 1608</t>
        </is>
      </c>
    </row>
    <row r="36">
      <c r="A36" s="13" t="inlineStr">
        <is>
          <t>Subtotal — Sealed</t>
        </is>
      </c>
      <c r="B36" s="14" t="n"/>
      <c r="C36" s="14" t="n"/>
      <c r="D36" s="14" t="n"/>
      <c r="E36" s="14" t="n"/>
      <c r="F36" s="14" t="n"/>
      <c r="G36" s="14" t="n"/>
      <c r="H36" s="15">
        <f>SUM(H20:H35)</f>
        <v/>
      </c>
      <c r="I36" s="15">
        <f>SUM(I20:I35)</f>
        <v/>
      </c>
      <c r="J36" s="15">
        <f>SUM(J20:J35)</f>
        <v/>
      </c>
      <c r="K36" s="14" t="n"/>
      <c r="L36" s="16">
        <f>SUM(L20:L35)</f>
        <v/>
      </c>
      <c r="M36" s="14" t="n"/>
      <c r="N36" s="14" t="n"/>
      <c r="O36" s="14" t="n"/>
    </row>
    <row r="38">
      <c r="A38" s="6" t="inlineStr">
        <is>
          <t>SINGLE  —  77 lines, 94 items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8" t="inlineStr">
        <is>
          <t>D6-23</t>
        </is>
      </c>
      <c r="B39" s="9" t="n">
        <v>6</v>
      </c>
      <c r="C39" s="8" t="inlineStr">
        <is>
          <t>01-Aug-2026</t>
        </is>
      </c>
      <c r="D39" s="8" t="inlineStr">
        <is>
          <t>トレカSunrise 大阪日本橋</t>
        </is>
      </c>
      <c r="E39" s="8" t="inlineStr">
        <is>
          <t>SR/SA 188/173</t>
        </is>
      </c>
      <c r="F39" s="8" t="inlineStr">
        <is>
          <t>中古 · card name not printed</t>
        </is>
      </c>
      <c r="G39" s="8" t="inlineStr">
        <is>
          <t>Single</t>
        </is>
      </c>
      <c r="H39" s="9" t="n">
        <v>1</v>
      </c>
      <c r="I39" s="10" t="n">
        <v>42800</v>
      </c>
      <c r="J39" s="10" t="n">
        <v>42155</v>
      </c>
      <c r="K39" s="11" t="n">
        <v>0.385</v>
      </c>
      <c r="L39" s="12">
        <f>J39*K39</f>
        <v/>
      </c>
      <c r="M39" s="12">
        <f>L39/H39</f>
        <v/>
      </c>
      <c r="N39" s="9" t="inlineStr">
        <is>
          <t>税込</t>
        </is>
      </c>
      <c r="O39" s="8" t="inlineStr">
        <is>
          <t>Cash</t>
        </is>
      </c>
    </row>
    <row r="40">
      <c r="A40" s="8" t="inlineStr">
        <is>
          <t>D6-24</t>
        </is>
      </c>
      <c r="B40" s="9" t="n">
        <v>6</v>
      </c>
      <c r="C40" s="8" t="inlineStr">
        <is>
          <t>01-Aug-2026</t>
        </is>
      </c>
      <c r="D40" s="8" t="inlineStr">
        <is>
          <t>トレカSunrise 大阪日本橋</t>
        </is>
      </c>
      <c r="E40" s="8" t="inlineStr">
        <is>
          <t>SR 092/081</t>
        </is>
      </c>
      <c r="F40" s="8" t="inlineStr">
        <is>
          <t>中古 · card name not printed</t>
        </is>
      </c>
      <c r="G40" s="8" t="inlineStr">
        <is>
          <t>Single</t>
        </is>
      </c>
      <c r="H40" s="9" t="n">
        <v>1</v>
      </c>
      <c r="I40" s="10" t="n">
        <v>40000</v>
      </c>
      <c r="J40" s="10" t="n">
        <v>39397</v>
      </c>
      <c r="K40" s="11" t="n">
        <v>0.385</v>
      </c>
      <c r="L40" s="12">
        <f>J40*K40</f>
        <v/>
      </c>
      <c r="M40" s="12">
        <f>L40/H40</f>
        <v/>
      </c>
      <c r="N40" s="9" t="inlineStr">
        <is>
          <t>税込</t>
        </is>
      </c>
      <c r="O40" s="8" t="inlineStr">
        <is>
          <t>Cash</t>
        </is>
      </c>
    </row>
    <row r="41">
      <c r="A41" s="8" t="inlineStr">
        <is>
          <t>D2-02</t>
        </is>
      </c>
      <c r="B41" s="9" t="n">
        <v>2</v>
      </c>
      <c r="C41" s="8" t="inlineStr">
        <is>
          <t>28-Jul-2026</t>
        </is>
      </c>
      <c r="D41" s="8" t="inlineStr">
        <is>
          <t>シンソク新宿店 18:50</t>
        </is>
      </c>
      <c r="E41" s="8" t="inlineStr">
        <is>
          <t>Giratina VSTAR</t>
        </is>
      </c>
      <c r="F41" s="8" t="inlineStr">
        <is>
          <t>ギラティナVSTAR · グレードA</t>
        </is>
      </c>
      <c r="G41" s="8" t="inlineStr">
        <is>
          <t>Single</t>
        </is>
      </c>
      <c r="H41" s="9" t="n">
        <v>1</v>
      </c>
      <c r="I41" s="10" t="n">
        <v>26800</v>
      </c>
      <c r="J41" s="10" t="n">
        <v>24364</v>
      </c>
      <c r="K41" s="11" t="n">
        <v>0.38</v>
      </c>
      <c r="L41" s="12">
        <f>J41*K41</f>
        <v/>
      </c>
      <c r="M41" s="12">
        <f>L41/H41</f>
        <v/>
      </c>
      <c r="N41" s="9" t="inlineStr">
        <is>
          <t>免税</t>
        </is>
      </c>
      <c r="O41" s="8" t="inlineStr">
        <is>
          <t>Mastercard 4170</t>
        </is>
      </c>
    </row>
    <row r="42">
      <c r="A42" s="8" t="inlineStr">
        <is>
          <t>D6-04</t>
        </is>
      </c>
      <c r="B42" s="9" t="n">
        <v>6</v>
      </c>
      <c r="C42" s="8" t="inlineStr">
        <is>
          <t>01-Aug-2026</t>
        </is>
      </c>
      <c r="D42" s="8" t="inlineStr">
        <is>
          <t>ドラゴンスターなんば</t>
        </is>
      </c>
      <c r="E42" s="8" t="inlineStr">
        <is>
          <t>Pikachu</t>
        </is>
      </c>
      <c r="F42" s="8" t="inlineStr">
        <is>
          <t>ピカチュウ 208/S-P · キズアリ</t>
        </is>
      </c>
      <c r="G42" s="8" t="inlineStr">
        <is>
          <t>Single</t>
        </is>
      </c>
      <c r="H42" s="9" t="n">
        <v>1</v>
      </c>
      <c r="I42" s="10" t="n">
        <v>17980</v>
      </c>
      <c r="J42" s="10" t="n">
        <v>17980</v>
      </c>
      <c r="K42" s="11" t="n">
        <v>0.385</v>
      </c>
      <c r="L42" s="12">
        <f>J42*K42</f>
        <v/>
      </c>
      <c r="M42" s="12">
        <f>L42/H42</f>
        <v/>
      </c>
      <c r="N42" s="9" t="inlineStr">
        <is>
          <t>税込</t>
        </is>
      </c>
      <c r="O42" s="8" t="inlineStr">
        <is>
          <t>Credit</t>
        </is>
      </c>
    </row>
    <row r="43">
      <c r="A43" s="8" t="inlineStr">
        <is>
          <t>D6-05</t>
        </is>
      </c>
      <c r="B43" s="9" t="n">
        <v>6</v>
      </c>
      <c r="C43" s="8" t="inlineStr">
        <is>
          <t>01-Aug-2026</t>
        </is>
      </c>
      <c r="D43" s="8" t="inlineStr">
        <is>
          <t>ドラゴンスターなんば</t>
        </is>
      </c>
      <c r="E43" s="8" t="inlineStr">
        <is>
          <t>Gengar ex SR ×3</t>
        </is>
      </c>
      <c r="F43" s="8" t="inlineStr">
        <is>
          <t>ゲンガーex 088/071 SR · ¥5,480 ea</t>
        </is>
      </c>
      <c r="G43" s="8" t="inlineStr">
        <is>
          <t>Single</t>
        </is>
      </c>
      <c r="H43" s="9" t="n">
        <v>3</v>
      </c>
      <c r="I43" s="10" t="n">
        <v>16440</v>
      </c>
      <c r="J43" s="10" t="n">
        <v>16440</v>
      </c>
      <c r="K43" s="11" t="n">
        <v>0.385</v>
      </c>
      <c r="L43" s="12">
        <f>J43*K43</f>
        <v/>
      </c>
      <c r="M43" s="12">
        <f>L43/H43</f>
        <v/>
      </c>
      <c r="N43" s="9" t="inlineStr">
        <is>
          <t>税込</t>
        </is>
      </c>
      <c r="O43" s="8" t="inlineStr">
        <is>
          <t>Credit</t>
        </is>
      </c>
    </row>
    <row r="44">
      <c r="A44" s="8" t="inlineStr">
        <is>
          <t>D6-06</t>
        </is>
      </c>
      <c r="B44" s="9" t="n">
        <v>6</v>
      </c>
      <c r="C44" s="8" t="inlineStr">
        <is>
          <t>01-Aug-2026</t>
        </is>
      </c>
      <c r="D44" s="8" t="inlineStr">
        <is>
          <t>ドラゴンスターなんば</t>
        </is>
      </c>
      <c r="E44" s="8" t="inlineStr">
        <is>
          <t>Maushold AR ×5</t>
        </is>
      </c>
      <c r="F44" s="8" t="inlineStr">
        <is>
          <t>イッカネズミ 081/071 AR · ¥2,980 ea</t>
        </is>
      </c>
      <c r="G44" s="8" t="inlineStr">
        <is>
          <t>Single</t>
        </is>
      </c>
      <c r="H44" s="9" t="n">
        <v>5</v>
      </c>
      <c r="I44" s="10" t="n">
        <v>14900</v>
      </c>
      <c r="J44" s="10" t="n">
        <v>14900</v>
      </c>
      <c r="K44" s="11" t="n">
        <v>0.385</v>
      </c>
      <c r="L44" s="12">
        <f>J44*K44</f>
        <v/>
      </c>
      <c r="M44" s="12">
        <f>L44/H44</f>
        <v/>
      </c>
      <c r="N44" s="9" t="inlineStr">
        <is>
          <t>税込</t>
        </is>
      </c>
      <c r="O44" s="8" t="inlineStr">
        <is>
          <t>Credit</t>
        </is>
      </c>
    </row>
    <row r="45">
      <c r="A45" s="8" t="inlineStr">
        <is>
          <t>D2-03</t>
        </is>
      </c>
      <c r="B45" s="9" t="n">
        <v>2</v>
      </c>
      <c r="C45" s="8" t="inlineStr">
        <is>
          <t>28-Jul-2026</t>
        </is>
      </c>
      <c r="D45" s="8" t="inlineStr">
        <is>
          <t>シンソク新宿店 18:50</t>
        </is>
      </c>
      <c r="E45" s="8" t="inlineStr">
        <is>
          <t>Arceus VSTAR</t>
        </is>
      </c>
      <c r="F45" s="8" t="inlineStr">
        <is>
          <t>アルセウスVSTAR · グレードA</t>
        </is>
      </c>
      <c r="G45" s="8" t="inlineStr">
        <is>
          <t>Single</t>
        </is>
      </c>
      <c r="H45" s="9" t="n">
        <v>1</v>
      </c>
      <c r="I45" s="10" t="n">
        <v>15800</v>
      </c>
      <c r="J45" s="10" t="n">
        <v>14364</v>
      </c>
      <c r="K45" s="11" t="n">
        <v>0.38</v>
      </c>
      <c r="L45" s="12">
        <f>J45*K45</f>
        <v/>
      </c>
      <c r="M45" s="12">
        <f>L45/H45</f>
        <v/>
      </c>
      <c r="N45" s="9" t="inlineStr">
        <is>
          <t>免税</t>
        </is>
      </c>
      <c r="O45" s="8" t="inlineStr">
        <is>
          <t>Mastercard 4170</t>
        </is>
      </c>
    </row>
    <row r="46">
      <c r="A46" s="8" t="inlineStr">
        <is>
          <t>D6-15</t>
        </is>
      </c>
      <c r="B46" s="9" t="n">
        <v>6</v>
      </c>
      <c r="C46" s="8" t="inlineStr">
        <is>
          <t>01-Aug-2026</t>
        </is>
      </c>
      <c r="D46" s="8" t="inlineStr">
        <is>
          <t>カードショップはっちゃ 日本橋</t>
        </is>
      </c>
      <c r="E46" s="8" t="inlineStr">
        <is>
          <t>Eevee</t>
        </is>
      </c>
      <c r="F46" s="8" t="inlineStr">
        <is>
          <t>イーブイ 062/SV-P · 無</t>
        </is>
      </c>
      <c r="G46" s="8" t="inlineStr">
        <is>
          <t>Single</t>
        </is>
      </c>
      <c r="H46" s="9" t="n">
        <v>1</v>
      </c>
      <c r="I46" s="10" t="n">
        <v>12800</v>
      </c>
      <c r="J46" s="10" t="n">
        <v>12800</v>
      </c>
      <c r="K46" s="11" t="n">
        <v>0.385</v>
      </c>
      <c r="L46" s="12">
        <f>J46*K46</f>
        <v/>
      </c>
      <c r="M46" s="12">
        <f>L46/H46</f>
        <v/>
      </c>
      <c r="N46" s="9" t="inlineStr">
        <is>
          <t>税込</t>
        </is>
      </c>
      <c r="O46" s="8" t="inlineStr">
        <is>
          <t>Credit</t>
        </is>
      </c>
    </row>
    <row r="47">
      <c r="A47" s="8" t="inlineStr">
        <is>
          <t>D6-07</t>
        </is>
      </c>
      <c r="B47" s="9" t="n">
        <v>6</v>
      </c>
      <c r="C47" s="8" t="inlineStr">
        <is>
          <t>01-Aug-2026</t>
        </is>
      </c>
      <c r="D47" s="8" t="inlineStr">
        <is>
          <t>ドラゴンスターなんば</t>
        </is>
      </c>
      <c r="E47" s="8" t="inlineStr">
        <is>
          <t>Flareon</t>
        </is>
      </c>
      <c r="F47" s="8" t="inlineStr">
        <is>
          <t>ブースター 055/SV-P · 炎</t>
        </is>
      </c>
      <c r="G47" s="8" t="inlineStr">
        <is>
          <t>Single</t>
        </is>
      </c>
      <c r="H47" s="9" t="n">
        <v>1</v>
      </c>
      <c r="I47" s="10" t="n">
        <v>9980</v>
      </c>
      <c r="J47" s="10" t="n">
        <v>9980</v>
      </c>
      <c r="K47" s="11" t="n">
        <v>0.385</v>
      </c>
      <c r="L47" s="12">
        <f>J47*K47</f>
        <v/>
      </c>
      <c r="M47" s="12">
        <f>L47/H47</f>
        <v/>
      </c>
      <c r="N47" s="9" t="inlineStr">
        <is>
          <t>税込</t>
        </is>
      </c>
      <c r="O47" s="8" t="inlineStr">
        <is>
          <t>Credit</t>
        </is>
      </c>
    </row>
    <row r="48">
      <c r="A48" s="8" t="inlineStr">
        <is>
          <t>D6-08</t>
        </is>
      </c>
      <c r="B48" s="9" t="n">
        <v>6</v>
      </c>
      <c r="C48" s="8" t="inlineStr">
        <is>
          <t>01-Aug-2026</t>
        </is>
      </c>
      <c r="D48" s="8" t="inlineStr">
        <is>
          <t>ドラゴンスターなんば</t>
        </is>
      </c>
      <c r="E48" s="8" t="inlineStr">
        <is>
          <t>Glaceon</t>
        </is>
      </c>
      <c r="F48" s="8" t="inlineStr">
        <is>
          <t>グレイシア 069/SV-P · 水</t>
        </is>
      </c>
      <c r="G48" s="8" t="inlineStr">
        <is>
          <t>Single</t>
        </is>
      </c>
      <c r="H48" s="9" t="n">
        <v>1</v>
      </c>
      <c r="I48" s="10" t="n">
        <v>9980</v>
      </c>
      <c r="J48" s="10" t="n">
        <v>9980</v>
      </c>
      <c r="K48" s="11" t="n">
        <v>0.385</v>
      </c>
      <c r="L48" s="12">
        <f>J48*K48</f>
        <v/>
      </c>
      <c r="M48" s="12">
        <f>L48/H48</f>
        <v/>
      </c>
      <c r="N48" s="9" t="inlineStr">
        <is>
          <t>税込</t>
        </is>
      </c>
      <c r="O48" s="8" t="inlineStr">
        <is>
          <t>Credit</t>
        </is>
      </c>
    </row>
    <row r="49">
      <c r="A49" s="8" t="inlineStr">
        <is>
          <t>D6-09</t>
        </is>
      </c>
      <c r="B49" s="9" t="n">
        <v>6</v>
      </c>
      <c r="C49" s="8" t="inlineStr">
        <is>
          <t>01-Aug-2026</t>
        </is>
      </c>
      <c r="D49" s="8" t="inlineStr">
        <is>
          <t>ドラゴンスターなんば</t>
        </is>
      </c>
      <c r="E49" s="8" t="inlineStr">
        <is>
          <t>Mega Espeon ex SAR</t>
        </is>
      </c>
      <c r="F49" s="8" t="inlineStr">
        <is>
          <t>メガエーフィex 762/742</t>
        </is>
      </c>
      <c r="G49" s="8" t="inlineStr">
        <is>
          <t>Single</t>
        </is>
      </c>
      <c r="H49" s="9" t="n">
        <v>1</v>
      </c>
      <c r="I49" s="10" t="n">
        <v>9980</v>
      </c>
      <c r="J49" s="10" t="n">
        <v>9980</v>
      </c>
      <c r="K49" s="11" t="n">
        <v>0.385</v>
      </c>
      <c r="L49" s="12">
        <f>J49*K49</f>
        <v/>
      </c>
      <c r="M49" s="12">
        <f>L49/H49</f>
        <v/>
      </c>
      <c r="N49" s="9" t="inlineStr">
        <is>
          <t>税込</t>
        </is>
      </c>
      <c r="O49" s="8" t="inlineStr">
        <is>
          <t>Credit</t>
        </is>
      </c>
    </row>
    <row r="50">
      <c r="A50" s="8" t="inlineStr">
        <is>
          <t>D6-33</t>
        </is>
      </c>
      <c r="B50" s="9" t="n">
        <v>6</v>
      </c>
      <c r="C50" s="8" t="inlineStr">
        <is>
          <t>01-Aug-2026</t>
        </is>
      </c>
      <c r="D50" s="8" t="inlineStr">
        <is>
          <t>BAR UnKnOwn 難波</t>
        </is>
      </c>
      <c r="E50" s="8" t="inlineStr">
        <is>
          <t>Single — ¥19,800 (50% stake)</t>
        </is>
      </c>
      <c r="F50" s="8" t="inlineStr">
        <is>
          <t>name not printed · Eugene holds the other half</t>
        </is>
      </c>
      <c r="G50" s="8" t="inlineStr">
        <is>
          <t>Single</t>
        </is>
      </c>
      <c r="H50" s="9" t="n">
        <v>1</v>
      </c>
      <c r="I50" s="10" t="n">
        <v>9900</v>
      </c>
      <c r="J50" s="10" t="n">
        <v>9900</v>
      </c>
      <c r="K50" s="11" t="n">
        <v>0.385</v>
      </c>
      <c r="L50" s="12">
        <f>J50*K50</f>
        <v/>
      </c>
      <c r="M50" s="12">
        <f>L50/H50</f>
        <v/>
      </c>
      <c r="N50" s="9" t="inlineStr">
        <is>
          <t>税込</t>
        </is>
      </c>
      <c r="O50" s="8" t="inlineStr">
        <is>
          <t>Cash</t>
        </is>
      </c>
    </row>
    <row r="51">
      <c r="A51" s="8" t="inlineStr">
        <is>
          <t>D6-10</t>
        </is>
      </c>
      <c r="B51" s="9" t="n">
        <v>6</v>
      </c>
      <c r="C51" s="8" t="inlineStr">
        <is>
          <t>01-Aug-2026</t>
        </is>
      </c>
      <c r="D51" s="8" t="inlineStr">
        <is>
          <t>ドラゴンスターなんば</t>
        </is>
      </c>
      <c r="E51" s="8" t="inlineStr">
        <is>
          <t>Leafeon</t>
        </is>
      </c>
      <c r="F51" s="8" t="inlineStr">
        <is>
          <t>リーフィア 068/SV-P · 草</t>
        </is>
      </c>
      <c r="G51" s="8" t="inlineStr">
        <is>
          <t>Single</t>
        </is>
      </c>
      <c r="H51" s="9" t="n">
        <v>1</v>
      </c>
      <c r="I51" s="10" t="n">
        <v>9480</v>
      </c>
      <c r="J51" s="10" t="n">
        <v>9480</v>
      </c>
      <c r="K51" s="11" t="n">
        <v>0.385</v>
      </c>
      <c r="L51" s="12">
        <f>J51*K51</f>
        <v/>
      </c>
      <c r="M51" s="12">
        <f>L51/H51</f>
        <v/>
      </c>
      <c r="N51" s="9" t="inlineStr">
        <is>
          <t>税込</t>
        </is>
      </c>
      <c r="O51" s="8" t="inlineStr">
        <is>
          <t>Credit</t>
        </is>
      </c>
    </row>
    <row r="52">
      <c r="A52" s="8" t="inlineStr">
        <is>
          <t>D3-22</t>
        </is>
      </c>
      <c r="B52" s="9" t="n">
        <v>3</v>
      </c>
      <c r="C52" s="8" t="inlineStr">
        <is>
          <t>29-Jul-2026</t>
        </is>
      </c>
      <c r="D52" s="8" t="inlineStr">
        <is>
          <t>Blastoise shop (not recorded)</t>
        </is>
      </c>
      <c r="E52" s="8" t="inlineStr">
        <is>
          <t>Blastoise EX SR</t>
        </is>
      </c>
      <c r="F52" s="8" t="inlineStr">
        <is>
          <t>カメックスEX 061/060 · XY1 · 1st Ed</t>
        </is>
      </c>
      <c r="G52" s="8" t="inlineStr">
        <is>
          <t>Single</t>
        </is>
      </c>
      <c r="H52" s="9" t="n">
        <v>1</v>
      </c>
      <c r="I52" s="10" t="n">
        <v>9000</v>
      </c>
      <c r="J52" s="10" t="n">
        <v>9000</v>
      </c>
      <c r="K52" s="11" t="n">
        <v>0.38</v>
      </c>
      <c r="L52" s="12">
        <f>J52*K52</f>
        <v/>
      </c>
      <c r="M52" s="12">
        <f>L52/H52</f>
        <v/>
      </c>
      <c r="N52" s="9" t="inlineStr">
        <is>
          <t>—</t>
        </is>
      </c>
      <c r="O52" s="8" t="inlineStr">
        <is>
          <t>Cash</t>
        </is>
      </c>
    </row>
    <row r="53">
      <c r="A53" s="8" t="inlineStr">
        <is>
          <t>D2-05</t>
        </is>
      </c>
      <c r="B53" s="9" t="n">
        <v>2</v>
      </c>
      <c r="C53" s="8" t="inlineStr">
        <is>
          <t>28-Jul-2026</t>
        </is>
      </c>
      <c r="D53" s="8" t="inlineStr">
        <is>
          <t>シンソク新宿店 18:50</t>
        </is>
      </c>
      <c r="E53" s="8" t="inlineStr">
        <is>
          <t>Origin Palkia V (SA)</t>
        </is>
      </c>
      <c r="F53" s="8" t="inlineStr">
        <is>
          <t>オリジンパルキアV(SA) · グレードA</t>
        </is>
      </c>
      <c r="G53" s="8" t="inlineStr">
        <is>
          <t>Single</t>
        </is>
      </c>
      <c r="H53" s="9" t="n">
        <v>1</v>
      </c>
      <c r="I53" s="10" t="n">
        <v>9800</v>
      </c>
      <c r="J53" s="10" t="n">
        <v>8909</v>
      </c>
      <c r="K53" s="11" t="n">
        <v>0.38</v>
      </c>
      <c r="L53" s="12">
        <f>J53*K53</f>
        <v/>
      </c>
      <c r="M53" s="12">
        <f>L53/H53</f>
        <v/>
      </c>
      <c r="N53" s="9" t="inlineStr">
        <is>
          <t>免税</t>
        </is>
      </c>
      <c r="O53" s="8" t="inlineStr">
        <is>
          <t>Mastercard 4170</t>
        </is>
      </c>
    </row>
    <row r="54">
      <c r="A54" s="8" t="inlineStr">
        <is>
          <t>D2-06</t>
        </is>
      </c>
      <c r="B54" s="9" t="n">
        <v>2</v>
      </c>
      <c r="C54" s="8" t="inlineStr">
        <is>
          <t>28-Jul-2026</t>
        </is>
      </c>
      <c r="D54" s="8" t="inlineStr">
        <is>
          <t>シンソク新宿店 18:50</t>
        </is>
      </c>
      <c r="E54" s="8" t="inlineStr">
        <is>
          <t>Origin Palkia VSTAR</t>
        </is>
      </c>
      <c r="F54" s="8" t="inlineStr">
        <is>
          <t>オリジンパルキアVSTAR · グレードA</t>
        </is>
      </c>
      <c r="G54" s="8" t="inlineStr">
        <is>
          <t>Single</t>
        </is>
      </c>
      <c r="H54" s="9" t="n">
        <v>1</v>
      </c>
      <c r="I54" s="10" t="n">
        <v>9800</v>
      </c>
      <c r="J54" s="10" t="n">
        <v>8909</v>
      </c>
      <c r="K54" s="11" t="n">
        <v>0.38</v>
      </c>
      <c r="L54" s="12">
        <f>J54*K54</f>
        <v/>
      </c>
      <c r="M54" s="12">
        <f>L54/H54</f>
        <v/>
      </c>
      <c r="N54" s="9" t="inlineStr">
        <is>
          <t>免税</t>
        </is>
      </c>
      <c r="O54" s="8" t="inlineStr">
        <is>
          <t>Mastercard 4170</t>
        </is>
      </c>
    </row>
    <row r="55">
      <c r="A55" s="8" t="inlineStr">
        <is>
          <t>D6-11</t>
        </is>
      </c>
      <c r="B55" s="9" t="n">
        <v>6</v>
      </c>
      <c r="C55" s="8" t="inlineStr">
        <is>
          <t>01-Aug-2026</t>
        </is>
      </c>
      <c r="D55" s="8" t="inlineStr">
        <is>
          <t>ドラゴンスターなんば</t>
        </is>
      </c>
      <c r="E55" s="8" t="inlineStr">
        <is>
          <t>Zekrom A SR</t>
        </is>
      </c>
      <c r="F55" s="8" t="inlineStr">
        <is>
          <t>ゼクロムA 055/053 SR · 雷</t>
        </is>
      </c>
      <c r="G55" s="8" t="inlineStr">
        <is>
          <t>Single</t>
        </is>
      </c>
      <c r="H55" s="9" t="n">
        <v>1</v>
      </c>
      <c r="I55" s="10" t="n">
        <v>7980</v>
      </c>
      <c r="J55" s="10" t="n">
        <v>7980</v>
      </c>
      <c r="K55" s="11" t="n">
        <v>0.385</v>
      </c>
      <c r="L55" s="12">
        <f>J55*K55</f>
        <v/>
      </c>
      <c r="M55" s="12">
        <f>L55/H55</f>
        <v/>
      </c>
      <c r="N55" s="9" t="inlineStr">
        <is>
          <t>税込</t>
        </is>
      </c>
      <c r="O55" s="8" t="inlineStr">
        <is>
          <t>Credit</t>
        </is>
      </c>
    </row>
    <row r="56">
      <c r="A56" s="8" t="inlineStr">
        <is>
          <t>D1-05</t>
        </is>
      </c>
      <c r="B56" s="9" t="n">
        <v>1</v>
      </c>
      <c r="C56" s="8" t="inlineStr">
        <is>
          <t>27-Jul-2026</t>
        </is>
      </c>
      <c r="D56" s="8" t="inlineStr">
        <is>
          <t>Every Toreca</t>
        </is>
      </c>
      <c r="E56" s="8" t="inlineStr">
        <is>
          <t>Oshawott AR</t>
        </is>
      </c>
      <c r="F56" s="8" t="inlineStr">
        <is>
          <t>102/086 SV11W White Flare</t>
        </is>
      </c>
      <c r="G56" s="8" t="inlineStr">
        <is>
          <t>Single</t>
        </is>
      </c>
      <c r="H56" s="9" t="n">
        <v>1</v>
      </c>
      <c r="I56" s="10" t="n">
        <v>5980</v>
      </c>
      <c r="J56" s="10" t="n">
        <v>5980</v>
      </c>
      <c r="K56" s="11" t="n">
        <v>0.38</v>
      </c>
      <c r="L56" s="12">
        <f>J56*K56</f>
        <v/>
      </c>
      <c r="M56" s="12">
        <f>L56/H56</f>
        <v/>
      </c>
      <c r="N56" s="9" t="inlineStr">
        <is>
          <t>税込</t>
        </is>
      </c>
      <c r="O56" s="8" t="inlineStr">
        <is>
          <t>Card</t>
        </is>
      </c>
    </row>
    <row r="57">
      <c r="A57" s="8" t="inlineStr">
        <is>
          <t>D6-16</t>
        </is>
      </c>
      <c r="B57" s="9" t="n">
        <v>6</v>
      </c>
      <c r="C57" s="8" t="inlineStr">
        <is>
          <t>01-Aug-2026</t>
        </is>
      </c>
      <c r="D57" s="8" t="inlineStr">
        <is>
          <t>カードショップはっちゃ 日本橋</t>
        </is>
      </c>
      <c r="E57" s="8" t="inlineStr">
        <is>
          <t>Snorlax CHR ×3</t>
        </is>
      </c>
      <c r="F57" s="8" t="inlineStr">
        <is>
          <t>カビゴン 077/071 CHR · ¥1,980 ea</t>
        </is>
      </c>
      <c r="G57" s="8" t="inlineStr">
        <is>
          <t>Single</t>
        </is>
      </c>
      <c r="H57" s="9" t="n">
        <v>3</v>
      </c>
      <c r="I57" s="10" t="n">
        <v>5940</v>
      </c>
      <c r="J57" s="10" t="n">
        <v>5940</v>
      </c>
      <c r="K57" s="11" t="n">
        <v>0.385</v>
      </c>
      <c r="L57" s="12">
        <f>J57*K57</f>
        <v/>
      </c>
      <c r="M57" s="12">
        <f>L57/H57</f>
        <v/>
      </c>
      <c r="N57" s="9" t="inlineStr">
        <is>
          <t>税込</t>
        </is>
      </c>
      <c r="O57" s="8" t="inlineStr">
        <is>
          <t>Credit</t>
        </is>
      </c>
    </row>
    <row r="58">
      <c r="A58" s="8" t="inlineStr">
        <is>
          <t>D6-17</t>
        </is>
      </c>
      <c r="B58" s="9" t="n">
        <v>6</v>
      </c>
      <c r="C58" s="8" t="inlineStr">
        <is>
          <t>01-Aug-2026</t>
        </is>
      </c>
      <c r="D58" s="8" t="inlineStr">
        <is>
          <t>カードショップはっちゃ 日本橋</t>
        </is>
      </c>
      <c r="E58" s="8" t="inlineStr">
        <is>
          <t>Pikachu CHR</t>
        </is>
      </c>
      <c r="F58" s="8" t="inlineStr">
        <is>
          <t>ピカチュウ 073/071 CHR · 雷</t>
        </is>
      </c>
      <c r="G58" s="8" t="inlineStr">
        <is>
          <t>Single</t>
        </is>
      </c>
      <c r="H58" s="9" t="n">
        <v>1</v>
      </c>
      <c r="I58" s="10" t="n">
        <v>5480</v>
      </c>
      <c r="J58" s="10" t="n">
        <v>5480</v>
      </c>
      <c r="K58" s="11" t="n">
        <v>0.385</v>
      </c>
      <c r="L58" s="12">
        <f>J58*K58</f>
        <v/>
      </c>
      <c r="M58" s="12">
        <f>L58/H58</f>
        <v/>
      </c>
      <c r="N58" s="9" t="inlineStr">
        <is>
          <t>税込</t>
        </is>
      </c>
      <c r="O58" s="8" t="inlineStr">
        <is>
          <t>Credit</t>
        </is>
      </c>
    </row>
    <row r="59">
      <c r="A59" s="8" t="inlineStr">
        <is>
          <t>D3-01</t>
        </is>
      </c>
      <c r="B59" s="9" t="n">
        <v>3</v>
      </c>
      <c r="C59" s="8" t="inlineStr">
        <is>
          <t>29-Jul-2026</t>
        </is>
      </c>
      <c r="D59" s="8" t="inlineStr">
        <is>
          <t>バトロコ渋谷センター街</t>
        </is>
      </c>
      <c r="E59" s="8" t="inlineStr">
        <is>
          <t>Mew AR</t>
        </is>
      </c>
      <c r="F59" s="8" t="inlineStr">
        <is>
          <t>ミュウ 183/172 · 超</t>
        </is>
      </c>
      <c r="G59" s="8" t="inlineStr">
        <is>
          <t>Single</t>
        </is>
      </c>
      <c r="H59" s="9" t="n">
        <v>1</v>
      </c>
      <c r="I59" s="10" t="n">
        <v>5500</v>
      </c>
      <c r="J59" s="10" t="n">
        <v>5000</v>
      </c>
      <c r="K59" s="11" t="n">
        <v>0.38</v>
      </c>
      <c r="L59" s="12">
        <f>J59*K59</f>
        <v/>
      </c>
      <c r="M59" s="12">
        <f>L59/H59</f>
        <v/>
      </c>
      <c r="N59" s="9" t="inlineStr">
        <is>
          <t>免税</t>
        </is>
      </c>
      <c r="O59" s="8" t="inlineStr">
        <is>
          <t>Not recorded</t>
        </is>
      </c>
    </row>
    <row r="60">
      <c r="A60" s="8" t="inlineStr">
        <is>
          <t>D3-02</t>
        </is>
      </c>
      <c r="B60" s="9" t="n">
        <v>3</v>
      </c>
      <c r="C60" s="8" t="inlineStr">
        <is>
          <t>29-Jul-2026</t>
        </is>
      </c>
      <c r="D60" s="8" t="inlineStr">
        <is>
          <t>バトロコ渋谷センター街</t>
        </is>
      </c>
      <c r="E60" s="8" t="inlineStr">
        <is>
          <t>Gengar CHR</t>
        </is>
      </c>
      <c r="F60" s="8" t="inlineStr">
        <is>
          <t>ゲンガー 074/071 · 超</t>
        </is>
      </c>
      <c r="G60" s="8" t="inlineStr">
        <is>
          <t>Single</t>
        </is>
      </c>
      <c r="H60" s="9" t="n">
        <v>1</v>
      </c>
      <c r="I60" s="10" t="n">
        <v>5000</v>
      </c>
      <c r="J60" s="10" t="n">
        <v>4546</v>
      </c>
      <c r="K60" s="11" t="n">
        <v>0.38</v>
      </c>
      <c r="L60" s="12">
        <f>J60*K60</f>
        <v/>
      </c>
      <c r="M60" s="12">
        <f>L60/H60</f>
        <v/>
      </c>
      <c r="N60" s="9" t="inlineStr">
        <is>
          <t>免税</t>
        </is>
      </c>
      <c r="O60" s="8" t="inlineStr">
        <is>
          <t>Not recorded</t>
        </is>
      </c>
    </row>
    <row r="61">
      <c r="A61" s="8" t="inlineStr">
        <is>
          <t>D6-12</t>
        </is>
      </c>
      <c r="B61" s="9" t="n">
        <v>6</v>
      </c>
      <c r="C61" s="8" t="inlineStr">
        <is>
          <t>01-Aug-2026</t>
        </is>
      </c>
      <c r="D61" s="8" t="inlineStr">
        <is>
          <t>ドラゴンスターなんば</t>
        </is>
      </c>
      <c r="E61" s="8" t="inlineStr">
        <is>
          <t>Mew AR</t>
        </is>
      </c>
      <c r="F61" s="8" t="inlineStr">
        <is>
          <t>ミュウ 183/172 AR · 超</t>
        </is>
      </c>
      <c r="G61" s="8" t="inlineStr">
        <is>
          <t>Single</t>
        </is>
      </c>
      <c r="H61" s="9" t="n">
        <v>1</v>
      </c>
      <c r="I61" s="10" t="n">
        <v>4480</v>
      </c>
      <c r="J61" s="10" t="n">
        <v>4480</v>
      </c>
      <c r="K61" s="11" t="n">
        <v>0.385</v>
      </c>
      <c r="L61" s="12">
        <f>J61*K61</f>
        <v/>
      </c>
      <c r="M61" s="12">
        <f>L61/H61</f>
        <v/>
      </c>
      <c r="N61" s="9" t="inlineStr">
        <is>
          <t>税込</t>
        </is>
      </c>
      <c r="O61" s="8" t="inlineStr">
        <is>
          <t>Credit</t>
        </is>
      </c>
    </row>
    <row r="62">
      <c r="A62" s="8" t="inlineStr">
        <is>
          <t>D2-21</t>
        </is>
      </c>
      <c r="B62" s="9" t="n">
        <v>2</v>
      </c>
      <c r="C62" s="8" t="inlineStr">
        <is>
          <t>28-Jul-2026</t>
        </is>
      </c>
      <c r="D62" s="8" t="inlineStr">
        <is>
          <t>トレカガレージ</t>
        </is>
      </c>
      <c r="E62" s="8" t="inlineStr">
        <is>
          <t>Reshiram &amp; Zekrom GX</t>
        </is>
      </c>
      <c r="F62" s="8" t="inlineStr">
        <is>
          <t>036/049 RR · ドラゴン</t>
        </is>
      </c>
      <c r="G62" s="8" t="inlineStr">
        <is>
          <t>Single</t>
        </is>
      </c>
      <c r="H62" s="9" t="n">
        <v>1</v>
      </c>
      <c r="I62" s="10" t="n">
        <v>4000</v>
      </c>
      <c r="J62" s="10" t="n">
        <v>4000</v>
      </c>
      <c r="K62" s="11" t="n">
        <v>0.38</v>
      </c>
      <c r="L62" s="12">
        <f>J62*K62</f>
        <v/>
      </c>
      <c r="M62" s="12">
        <f>L62/H62</f>
        <v/>
      </c>
      <c r="N62" s="9" t="inlineStr">
        <is>
          <t>税込</t>
        </is>
      </c>
      <c r="O62" s="8" t="inlineStr">
        <is>
          <t>Credit</t>
        </is>
      </c>
    </row>
    <row r="63">
      <c r="A63" s="8" t="inlineStr">
        <is>
          <t>D3-23</t>
        </is>
      </c>
      <c r="B63" s="9" t="n">
        <v>3</v>
      </c>
      <c r="C63" s="8" t="inlineStr">
        <is>
          <t>29-Jul-2026</t>
        </is>
      </c>
      <c r="D63" s="8" t="inlineStr">
        <is>
          <t>Blastoise shop (not recorded)</t>
        </is>
      </c>
      <c r="E63" s="8" t="inlineStr">
        <is>
          <t>10 singles, mostly AR</t>
        </is>
      </c>
      <c r="F63" s="8" t="inlineStr">
        <is>
          <t>¥400 each · names pending photos</t>
        </is>
      </c>
      <c r="G63" s="8" t="inlineStr">
        <is>
          <t>Single</t>
        </is>
      </c>
      <c r="H63" s="9" t="n">
        <v>10</v>
      </c>
      <c r="I63" s="10" t="n">
        <v>4000</v>
      </c>
      <c r="J63" s="10" t="n">
        <v>4000</v>
      </c>
      <c r="K63" s="11" t="n">
        <v>0.38</v>
      </c>
      <c r="L63" s="12">
        <f>J63*K63</f>
        <v/>
      </c>
      <c r="M63" s="12">
        <f>L63/H63</f>
        <v/>
      </c>
      <c r="N63" s="9" t="inlineStr">
        <is>
          <t>—</t>
        </is>
      </c>
      <c r="O63" s="8" t="inlineStr">
        <is>
          <t>Cash</t>
        </is>
      </c>
    </row>
    <row r="64">
      <c r="A64" s="8" t="inlineStr">
        <is>
          <t>D2-07</t>
        </is>
      </c>
      <c r="B64" s="9" t="n">
        <v>2</v>
      </c>
      <c r="C64" s="8" t="inlineStr">
        <is>
          <t>28-Jul-2026</t>
        </is>
      </c>
      <c r="D64" s="8" t="inlineStr">
        <is>
          <t>シンソク新宿店 18:50</t>
        </is>
      </c>
      <c r="E64" s="8" t="inlineStr">
        <is>
          <t>Pikachu</t>
        </is>
      </c>
      <c r="F64" s="8" t="inlineStr">
        <is>
          <t>ピカチュウ · グレードAM</t>
        </is>
      </c>
      <c r="G64" s="8" t="inlineStr">
        <is>
          <t>Single</t>
        </is>
      </c>
      <c r="H64" s="9" t="n">
        <v>1</v>
      </c>
      <c r="I64" s="10" t="n">
        <v>4280</v>
      </c>
      <c r="J64" s="10" t="n">
        <v>3891</v>
      </c>
      <c r="K64" s="11" t="n">
        <v>0.38</v>
      </c>
      <c r="L64" s="12">
        <f>J64*K64</f>
        <v/>
      </c>
      <c r="M64" s="12">
        <f>L64/H64</f>
        <v/>
      </c>
      <c r="N64" s="9" t="inlineStr">
        <is>
          <t>免税</t>
        </is>
      </c>
      <c r="O64" s="8" t="inlineStr">
        <is>
          <t>Mastercard 4170</t>
        </is>
      </c>
    </row>
    <row r="65">
      <c r="A65" s="8" t="inlineStr">
        <is>
          <t>D3-03</t>
        </is>
      </c>
      <c r="B65" s="9" t="n">
        <v>3</v>
      </c>
      <c r="C65" s="8" t="inlineStr">
        <is>
          <t>29-Jul-2026</t>
        </is>
      </c>
      <c r="D65" s="8" t="inlineStr">
        <is>
          <t>バトロコ渋谷センター街</t>
        </is>
      </c>
      <c r="E65" s="8" t="inlineStr">
        <is>
          <t>Eevee AR</t>
        </is>
      </c>
      <c r="F65" s="8" t="inlineStr">
        <is>
          <t>イーブイ 078/066 · 無</t>
        </is>
      </c>
      <c r="G65" s="8" t="inlineStr">
        <is>
          <t>Single</t>
        </is>
      </c>
      <c r="H65" s="9" t="n">
        <v>1</v>
      </c>
      <c r="I65" s="10" t="n">
        <v>4000</v>
      </c>
      <c r="J65" s="10" t="n">
        <v>3637</v>
      </c>
      <c r="K65" s="11" t="n">
        <v>0.38</v>
      </c>
      <c r="L65" s="12">
        <f>J65*K65</f>
        <v/>
      </c>
      <c r="M65" s="12">
        <f>L65/H65</f>
        <v/>
      </c>
      <c r="N65" s="9" t="inlineStr">
        <is>
          <t>免税</t>
        </is>
      </c>
      <c r="O65" s="8" t="inlineStr">
        <is>
          <t>Not recorded</t>
        </is>
      </c>
    </row>
    <row r="66">
      <c r="A66" s="8" t="inlineStr">
        <is>
          <t>D6-34</t>
        </is>
      </c>
      <c r="B66" s="9" t="n">
        <v>6</v>
      </c>
      <c r="C66" s="8" t="inlineStr">
        <is>
          <t>01-Aug-2026</t>
        </is>
      </c>
      <c r="D66" s="8" t="inlineStr">
        <is>
          <t>BAR UnKnOwn 難波</t>
        </is>
      </c>
      <c r="E66" s="8" t="inlineStr">
        <is>
          <t>Single — ¥6,500 (50% stake)</t>
        </is>
      </c>
      <c r="F66" s="8" t="inlineStr">
        <is>
          <t>name not printed · Eugene holds the other half</t>
        </is>
      </c>
      <c r="G66" s="8" t="inlineStr">
        <is>
          <t>Single</t>
        </is>
      </c>
      <c r="H66" s="9" t="n">
        <v>1</v>
      </c>
      <c r="I66" s="10" t="n">
        <v>3250</v>
      </c>
      <c r="J66" s="10" t="n">
        <v>3250</v>
      </c>
      <c r="K66" s="11" t="n">
        <v>0.385</v>
      </c>
      <c r="L66" s="12">
        <f>J66*K66</f>
        <v/>
      </c>
      <c r="M66" s="12">
        <f>L66/H66</f>
        <v/>
      </c>
      <c r="N66" s="9" t="inlineStr">
        <is>
          <t>税込</t>
        </is>
      </c>
      <c r="O66" s="8" t="inlineStr">
        <is>
          <t>Cash</t>
        </is>
      </c>
    </row>
    <row r="67">
      <c r="A67" s="8" t="inlineStr">
        <is>
          <t>D6-18</t>
        </is>
      </c>
      <c r="B67" s="9" t="n">
        <v>6</v>
      </c>
      <c r="C67" s="8" t="inlineStr">
        <is>
          <t>01-Aug-2026</t>
        </is>
      </c>
      <c r="D67" s="8" t="inlineStr">
        <is>
          <t>カードショップはっちゃ 日本橋</t>
        </is>
      </c>
      <c r="E67" s="8" t="inlineStr">
        <is>
          <t>Snorlax VMAX</t>
        </is>
      </c>
      <c r="F67" s="8" t="inlineStr">
        <is>
          <t>カビゴンVMAX 046/060 · キズ有</t>
        </is>
      </c>
      <c r="G67" s="8" t="inlineStr">
        <is>
          <t>Single</t>
        </is>
      </c>
      <c r="H67" s="9" t="n">
        <v>1</v>
      </c>
      <c r="I67" s="10" t="n">
        <v>2780</v>
      </c>
      <c r="J67" s="10" t="n">
        <v>2780</v>
      </c>
      <c r="K67" s="11" t="n">
        <v>0.385</v>
      </c>
      <c r="L67" s="12">
        <f>J67*K67</f>
        <v/>
      </c>
      <c r="M67" s="12">
        <f>L67/H67</f>
        <v/>
      </c>
      <c r="N67" s="9" t="inlineStr">
        <is>
          <t>税込</t>
        </is>
      </c>
      <c r="O67" s="8" t="inlineStr">
        <is>
          <t>Credit</t>
        </is>
      </c>
    </row>
    <row r="68">
      <c r="A68" s="8" t="inlineStr">
        <is>
          <t>D2-08</t>
        </is>
      </c>
      <c r="B68" s="9" t="n">
        <v>2</v>
      </c>
      <c r="C68" s="8" t="inlineStr">
        <is>
          <t>28-Jul-2026</t>
        </is>
      </c>
      <c r="D68" s="8" t="inlineStr">
        <is>
          <t>シンソク新宿店 18:50</t>
        </is>
      </c>
      <c r="E68" s="8" t="inlineStr">
        <is>
          <t>Tyranitar ex δ Delta Species</t>
        </is>
      </c>
      <c r="F68" s="8" t="inlineStr">
        <is>
          <t>バンギラスex δ-デルタ種 · グレードAM</t>
        </is>
      </c>
      <c r="G68" s="8" t="inlineStr">
        <is>
          <t>Single</t>
        </is>
      </c>
      <c r="H68" s="9" t="n">
        <v>1</v>
      </c>
      <c r="I68" s="10" t="n">
        <v>2980</v>
      </c>
      <c r="J68" s="10" t="n">
        <v>2709</v>
      </c>
      <c r="K68" s="11" t="n">
        <v>0.38</v>
      </c>
      <c r="L68" s="12">
        <f>J68*K68</f>
        <v/>
      </c>
      <c r="M68" s="12">
        <f>L68/H68</f>
        <v/>
      </c>
      <c r="N68" s="9" t="inlineStr">
        <is>
          <t>免税</t>
        </is>
      </c>
      <c r="O68" s="8" t="inlineStr">
        <is>
          <t>Mastercard 4170</t>
        </is>
      </c>
    </row>
    <row r="69">
      <c r="A69" s="8" t="inlineStr">
        <is>
          <t>D2-09</t>
        </is>
      </c>
      <c r="B69" s="9" t="n">
        <v>2</v>
      </c>
      <c r="C69" s="8" t="inlineStr">
        <is>
          <t>28-Jul-2026</t>
        </is>
      </c>
      <c r="D69" s="8" t="inlineStr">
        <is>
          <t>シンソク新宿店 18:50</t>
        </is>
      </c>
      <c r="E69" s="8" t="inlineStr">
        <is>
          <t>Alakazam LV.X</t>
        </is>
      </c>
      <c r="F69" s="8" t="inlineStr">
        <is>
          <t>フーディン LV.X · グレードB</t>
        </is>
      </c>
      <c r="G69" s="8" t="inlineStr">
        <is>
          <t>Single</t>
        </is>
      </c>
      <c r="H69" s="9" t="n">
        <v>1</v>
      </c>
      <c r="I69" s="10" t="n">
        <v>2880</v>
      </c>
      <c r="J69" s="10" t="n">
        <v>2618</v>
      </c>
      <c r="K69" s="11" t="n">
        <v>0.38</v>
      </c>
      <c r="L69" s="12">
        <f>J69*K69</f>
        <v/>
      </c>
      <c r="M69" s="12">
        <f>L69/H69</f>
        <v/>
      </c>
      <c r="N69" s="9" t="inlineStr">
        <is>
          <t>免税</t>
        </is>
      </c>
      <c r="O69" s="8" t="inlineStr">
        <is>
          <t>Mastercard 4170</t>
        </is>
      </c>
    </row>
    <row r="70">
      <c r="A70" s="8" t="inlineStr">
        <is>
          <t>D1-04</t>
        </is>
      </c>
      <c r="B70" s="9" t="n">
        <v>1</v>
      </c>
      <c r="C70" s="8" t="inlineStr">
        <is>
          <t>27-Jul-2026</t>
        </is>
      </c>
      <c r="D70" s="8" t="inlineStr">
        <is>
          <t>Every Toreca</t>
        </is>
      </c>
      <c r="E70" s="8" t="inlineStr">
        <is>
          <t>Tepig AR</t>
        </is>
      </c>
      <c r="F70" s="8" t="inlineStr">
        <is>
          <t>096/086 SV11W White Flare</t>
        </is>
      </c>
      <c r="G70" s="8" t="inlineStr">
        <is>
          <t>Single</t>
        </is>
      </c>
      <c r="H70" s="9" t="n">
        <v>1</v>
      </c>
      <c r="I70" s="10" t="n">
        <v>2480</v>
      </c>
      <c r="J70" s="10" t="n">
        <v>2480</v>
      </c>
      <c r="K70" s="11" t="n">
        <v>0.38</v>
      </c>
      <c r="L70" s="12">
        <f>J70*K70</f>
        <v/>
      </c>
      <c r="M70" s="12">
        <f>L70/H70</f>
        <v/>
      </c>
      <c r="N70" s="9" t="inlineStr">
        <is>
          <t>税込</t>
        </is>
      </c>
      <c r="O70" s="8" t="inlineStr">
        <is>
          <t>Card</t>
        </is>
      </c>
    </row>
    <row r="71">
      <c r="A71" s="8" t="inlineStr">
        <is>
          <t>D6-13</t>
        </is>
      </c>
      <c r="B71" s="9" t="n">
        <v>6</v>
      </c>
      <c r="C71" s="8" t="inlineStr">
        <is>
          <t>01-Aug-2026</t>
        </is>
      </c>
      <c r="D71" s="8" t="inlineStr">
        <is>
          <t>ドラゴンスターなんば</t>
        </is>
      </c>
      <c r="E71" s="8" t="inlineStr">
        <is>
          <t>Psyduck AR</t>
        </is>
      </c>
      <c r="F71" s="8" t="inlineStr">
        <is>
          <t>コダック 175/165 AR · 水</t>
        </is>
      </c>
      <c r="G71" s="8" t="inlineStr">
        <is>
          <t>Single</t>
        </is>
      </c>
      <c r="H71" s="9" t="n">
        <v>1</v>
      </c>
      <c r="I71" s="10" t="n">
        <v>2480</v>
      </c>
      <c r="J71" s="10" t="n">
        <v>2480</v>
      </c>
      <c r="K71" s="11" t="n">
        <v>0.385</v>
      </c>
      <c r="L71" s="12">
        <f>J71*K71</f>
        <v/>
      </c>
      <c r="M71" s="12">
        <f>L71/H71</f>
        <v/>
      </c>
      <c r="N71" s="9" t="inlineStr">
        <is>
          <t>税込</t>
        </is>
      </c>
      <c r="O71" s="8" t="inlineStr">
        <is>
          <t>Credit</t>
        </is>
      </c>
    </row>
    <row r="72">
      <c r="A72" s="8" t="inlineStr">
        <is>
          <t>D4-07</t>
        </is>
      </c>
      <c r="B72" s="9" t="n">
        <v>4</v>
      </c>
      <c r="C72" s="8" t="inlineStr">
        <is>
          <t>30-Jul-2026</t>
        </is>
      </c>
      <c r="D72" s="8" t="inlineStr">
        <is>
          <t>晴れる屋2 秋葉原タワー店</t>
        </is>
      </c>
      <c r="E72" s="8" t="inlineStr">
        <is>
          <t>Squirtle AR</t>
        </is>
      </c>
      <c r="F72" s="8" t="inlineStr">
        <is>
          <t>ゼニガメ 170/165 · SV2a</t>
        </is>
      </c>
      <c r="G72" s="8" t="inlineStr">
        <is>
          <t>Single</t>
        </is>
      </c>
      <c r="H72" s="9" t="n">
        <v>1</v>
      </c>
      <c r="I72" s="10" t="n">
        <v>2700</v>
      </c>
      <c r="J72" s="10" t="n">
        <v>2455</v>
      </c>
      <c r="K72" s="11" t="n">
        <v>0.38</v>
      </c>
      <c r="L72" s="12">
        <f>J72*K72</f>
        <v/>
      </c>
      <c r="M72" s="12">
        <f>L72/H72</f>
        <v/>
      </c>
      <c r="N72" s="9" t="inlineStr">
        <is>
          <t>免税</t>
        </is>
      </c>
      <c r="O72" s="8" t="inlineStr">
        <is>
          <t>Mastercard …7789</t>
        </is>
      </c>
    </row>
    <row r="73">
      <c r="A73" s="8" t="inlineStr">
        <is>
          <t>D2-10</t>
        </is>
      </c>
      <c r="B73" s="9" t="n">
        <v>2</v>
      </c>
      <c r="C73" s="8" t="inlineStr">
        <is>
          <t>28-Jul-2026</t>
        </is>
      </c>
      <c r="D73" s="8" t="inlineStr">
        <is>
          <t>シンソク新宿店 18:50</t>
        </is>
      </c>
      <c r="E73" s="8" t="inlineStr">
        <is>
          <t>Nidoking &amp; Nidoqueen δ</t>
        </is>
      </c>
      <c r="F73" s="8" t="inlineStr">
        <is>
          <t>ニドキング&amp;ニドクイン δ · グレードB</t>
        </is>
      </c>
      <c r="G73" s="8" t="inlineStr">
        <is>
          <t>Single</t>
        </is>
      </c>
      <c r="H73" s="9" t="n">
        <v>1</v>
      </c>
      <c r="I73" s="10" t="n">
        <v>2380</v>
      </c>
      <c r="J73" s="10" t="n">
        <v>2164</v>
      </c>
      <c r="K73" s="11" t="n">
        <v>0.38</v>
      </c>
      <c r="L73" s="12">
        <f>J73*K73</f>
        <v/>
      </c>
      <c r="M73" s="12">
        <f>L73/H73</f>
        <v/>
      </c>
      <c r="N73" s="9" t="inlineStr">
        <is>
          <t>免税</t>
        </is>
      </c>
      <c r="O73" s="8" t="inlineStr">
        <is>
          <t>Mastercard 4170</t>
        </is>
      </c>
    </row>
    <row r="74">
      <c r="A74" s="8" t="inlineStr">
        <is>
          <t>D2-22</t>
        </is>
      </c>
      <c r="B74" s="9" t="n">
        <v>2</v>
      </c>
      <c r="C74" s="8" t="inlineStr">
        <is>
          <t>28-Jul-2026</t>
        </is>
      </c>
      <c r="D74" s="8" t="inlineStr">
        <is>
          <t>トレカガレージ</t>
        </is>
      </c>
      <c r="E74" s="8" t="inlineStr">
        <is>
          <t>Snorlax GX</t>
        </is>
      </c>
      <c r="F74" s="8" t="inlineStr">
        <is>
          <t>カビゴンGX 001/SM-P · プロモ</t>
        </is>
      </c>
      <c r="G74" s="8" t="inlineStr">
        <is>
          <t>Single</t>
        </is>
      </c>
      <c r="H74" s="9" t="n">
        <v>1</v>
      </c>
      <c r="I74" s="10" t="n">
        <v>2100</v>
      </c>
      <c r="J74" s="10" t="n">
        <v>2100</v>
      </c>
      <c r="K74" s="11" t="n">
        <v>0.38</v>
      </c>
      <c r="L74" s="12">
        <f>J74*K74</f>
        <v/>
      </c>
      <c r="M74" s="12">
        <f>L74/H74</f>
        <v/>
      </c>
      <c r="N74" s="9" t="inlineStr">
        <is>
          <t>税込</t>
        </is>
      </c>
      <c r="O74" s="8" t="inlineStr">
        <is>
          <t>Credit</t>
        </is>
      </c>
    </row>
    <row r="75">
      <c r="A75" s="8" t="inlineStr">
        <is>
          <t>D2-23</t>
        </is>
      </c>
      <c r="B75" s="9" t="n">
        <v>2</v>
      </c>
      <c r="C75" s="8" t="inlineStr">
        <is>
          <t>28-Jul-2026</t>
        </is>
      </c>
      <c r="D75" s="8" t="inlineStr">
        <is>
          <t>トレカガレージ</t>
        </is>
      </c>
      <c r="E75" s="8" t="inlineStr">
        <is>
          <t>Charizard CHR</t>
        </is>
      </c>
      <c r="F75" s="8" t="inlineStr">
        <is>
          <t>リザードン 187/184 CHR</t>
        </is>
      </c>
      <c r="G75" s="8" t="inlineStr">
        <is>
          <t>Single</t>
        </is>
      </c>
      <c r="H75" s="9" t="n">
        <v>1</v>
      </c>
      <c r="I75" s="10" t="n">
        <v>2000</v>
      </c>
      <c r="J75" s="10" t="n">
        <v>2000</v>
      </c>
      <c r="K75" s="11" t="n">
        <v>0.38</v>
      </c>
      <c r="L75" s="12">
        <f>J75*K75</f>
        <v/>
      </c>
      <c r="M75" s="12">
        <f>L75/H75</f>
        <v/>
      </c>
      <c r="N75" s="9" t="inlineStr">
        <is>
          <t>税込</t>
        </is>
      </c>
      <c r="O75" s="8" t="inlineStr">
        <is>
          <t>Credit</t>
        </is>
      </c>
    </row>
    <row r="76">
      <c r="A76" s="8" t="inlineStr">
        <is>
          <t>D1-02</t>
        </is>
      </c>
      <c r="B76" s="9" t="n">
        <v>1</v>
      </c>
      <c r="C76" s="8" t="inlineStr">
        <is>
          <t>27-Jul-2026</t>
        </is>
      </c>
      <c r="D76" s="8" t="inlineStr">
        <is>
          <t>woorth Akihabara</t>
        </is>
      </c>
      <c r="E76" s="8" t="inlineStr">
        <is>
          <t>Meowth — Pokémon Card e</t>
        </is>
      </c>
      <c r="F76" s="8" t="inlineStr">
        <is>
          <t>e-Reader · 旧裏 · 統一 #006</t>
        </is>
      </c>
      <c r="G76" s="8" t="inlineStr">
        <is>
          <t>Single</t>
        </is>
      </c>
      <c r="H76" s="9" t="n">
        <v>1</v>
      </c>
      <c r="I76" s="10" t="n">
        <v>1980</v>
      </c>
      <c r="J76" s="10" t="n">
        <v>1980</v>
      </c>
      <c r="K76" s="11" t="n">
        <v>0.38</v>
      </c>
      <c r="L76" s="12">
        <f>J76*K76</f>
        <v/>
      </c>
      <c r="M76" s="12">
        <f>L76/H76</f>
        <v/>
      </c>
      <c r="N76" s="9" t="inlineStr">
        <is>
          <t>税込</t>
        </is>
      </c>
      <c r="O76" s="8" t="inlineStr">
        <is>
          <t>Mastercard 4170</t>
        </is>
      </c>
    </row>
    <row r="77">
      <c r="A77" s="8" t="inlineStr">
        <is>
          <t>D3-04</t>
        </is>
      </c>
      <c r="B77" s="9" t="n">
        <v>3</v>
      </c>
      <c r="C77" s="8" t="inlineStr">
        <is>
          <t>29-Jul-2026</t>
        </is>
      </c>
      <c r="D77" s="8" t="inlineStr">
        <is>
          <t>バトロコ渋谷センター街</t>
        </is>
      </c>
      <c r="E77" s="8" t="inlineStr">
        <is>
          <t>Snorlax AR</t>
        </is>
      </c>
      <c r="F77" s="8" t="inlineStr">
        <is>
          <t>カビゴン 181/165 · copy 1 of 2</t>
        </is>
      </c>
      <c r="G77" s="8" t="inlineStr">
        <is>
          <t>Single</t>
        </is>
      </c>
      <c r="H77" s="9" t="n">
        <v>1</v>
      </c>
      <c r="I77" s="10" t="n">
        <v>2000</v>
      </c>
      <c r="J77" s="10" t="n">
        <v>1819</v>
      </c>
      <c r="K77" s="11" t="n">
        <v>0.38</v>
      </c>
      <c r="L77" s="12">
        <f>J77*K77</f>
        <v/>
      </c>
      <c r="M77" s="12">
        <f>L77/H77</f>
        <v/>
      </c>
      <c r="N77" s="9" t="inlineStr">
        <is>
          <t>免税</t>
        </is>
      </c>
      <c r="O77" s="8" t="inlineStr">
        <is>
          <t>Not recorded</t>
        </is>
      </c>
    </row>
    <row r="78">
      <c r="A78" s="8" t="inlineStr">
        <is>
          <t>D3-05</t>
        </is>
      </c>
      <c r="B78" s="9" t="n">
        <v>3</v>
      </c>
      <c r="C78" s="8" t="inlineStr">
        <is>
          <t>29-Jul-2026</t>
        </is>
      </c>
      <c r="D78" s="8" t="inlineStr">
        <is>
          <t>バトロコ渋谷センター街</t>
        </is>
      </c>
      <c r="E78" s="8" t="inlineStr">
        <is>
          <t>Snorlax AR</t>
        </is>
      </c>
      <c r="F78" s="8" t="inlineStr">
        <is>
          <t>カビゴン 181/165 · copy 2 of 2</t>
        </is>
      </c>
      <c r="G78" s="8" t="inlineStr">
        <is>
          <t>Single</t>
        </is>
      </c>
      <c r="H78" s="9" t="n">
        <v>1</v>
      </c>
      <c r="I78" s="10" t="n">
        <v>2000</v>
      </c>
      <c r="J78" s="10" t="n">
        <v>1819</v>
      </c>
      <c r="K78" s="11" t="n">
        <v>0.38</v>
      </c>
      <c r="L78" s="12">
        <f>J78*K78</f>
        <v/>
      </c>
      <c r="M78" s="12">
        <f>L78/H78</f>
        <v/>
      </c>
      <c r="N78" s="9" t="inlineStr">
        <is>
          <t>免税</t>
        </is>
      </c>
      <c r="O78" s="8" t="inlineStr">
        <is>
          <t>Not recorded</t>
        </is>
      </c>
    </row>
    <row r="79">
      <c r="A79" s="8" t="inlineStr">
        <is>
          <t>D3-06</t>
        </is>
      </c>
      <c r="B79" s="9" t="n">
        <v>3</v>
      </c>
      <c r="C79" s="8" t="inlineStr">
        <is>
          <t>29-Jul-2026</t>
        </is>
      </c>
      <c r="D79" s="8" t="inlineStr">
        <is>
          <t>バトロコ渋谷センター街</t>
        </is>
      </c>
      <c r="E79" s="8" t="inlineStr">
        <is>
          <t>Groudon AR</t>
        </is>
      </c>
      <c r="F79" s="8" t="inlineStr">
        <is>
          <t>グラードン 069/062 · 闘</t>
        </is>
      </c>
      <c r="G79" s="8" t="inlineStr">
        <is>
          <t>Single</t>
        </is>
      </c>
      <c r="H79" s="9" t="n">
        <v>1</v>
      </c>
      <c r="I79" s="10" t="n">
        <v>2000</v>
      </c>
      <c r="J79" s="10" t="n">
        <v>1819</v>
      </c>
      <c r="K79" s="11" t="n">
        <v>0.38</v>
      </c>
      <c r="L79" s="12">
        <f>J79*K79</f>
        <v/>
      </c>
      <c r="M79" s="12">
        <f>L79/H79</f>
        <v/>
      </c>
      <c r="N79" s="9" t="inlineStr">
        <is>
          <t>免税</t>
        </is>
      </c>
      <c r="O79" s="8" t="inlineStr">
        <is>
          <t>Not recorded</t>
        </is>
      </c>
    </row>
    <row r="80">
      <c r="A80" s="8" t="inlineStr">
        <is>
          <t>D4-08</t>
        </is>
      </c>
      <c r="B80" s="9" t="n">
        <v>4</v>
      </c>
      <c r="C80" s="8" t="inlineStr">
        <is>
          <t>30-Jul-2026</t>
        </is>
      </c>
      <c r="D80" s="8" t="inlineStr">
        <is>
          <t>晴れる屋2 秋葉原タワー店</t>
        </is>
      </c>
      <c r="E80" s="8" t="inlineStr">
        <is>
          <t>Eevee</t>
        </is>
      </c>
      <c r="F80" s="8" t="inlineStr">
        <is>
          <t>イーブイ · OP4 · common</t>
        </is>
      </c>
      <c r="G80" s="8" t="inlineStr">
        <is>
          <t>Single</t>
        </is>
      </c>
      <c r="H80" s="9" t="n">
        <v>1</v>
      </c>
      <c r="I80" s="10" t="n">
        <v>2000</v>
      </c>
      <c r="J80" s="10" t="n">
        <v>1818</v>
      </c>
      <c r="K80" s="11" t="n">
        <v>0.38</v>
      </c>
      <c r="L80" s="12">
        <f>J80*K80</f>
        <v/>
      </c>
      <c r="M80" s="12">
        <f>L80/H80</f>
        <v/>
      </c>
      <c r="N80" s="9" t="inlineStr">
        <is>
          <t>免税</t>
        </is>
      </c>
      <c r="O80" s="8" t="inlineStr">
        <is>
          <t>Mastercard …7789</t>
        </is>
      </c>
    </row>
    <row r="81">
      <c r="A81" s="8" t="inlineStr">
        <is>
          <t>D6-14</t>
        </is>
      </c>
      <c r="B81" s="9" t="n">
        <v>6</v>
      </c>
      <c r="C81" s="8" t="inlineStr">
        <is>
          <t>01-Aug-2026</t>
        </is>
      </c>
      <c r="D81" s="8" t="inlineStr">
        <is>
          <t>ドラゴンスターなんば</t>
        </is>
      </c>
      <c r="E81" s="8" t="inlineStr">
        <is>
          <t>Snorlax AR</t>
        </is>
      </c>
      <c r="F81" s="8" t="inlineStr">
        <is>
          <t>カビゴン 181/165 AR · 無</t>
        </is>
      </c>
      <c r="G81" s="8" t="inlineStr">
        <is>
          <t>Single</t>
        </is>
      </c>
      <c r="H81" s="9" t="n">
        <v>1</v>
      </c>
      <c r="I81" s="10" t="n">
        <v>1780</v>
      </c>
      <c r="J81" s="10" t="n">
        <v>1780</v>
      </c>
      <c r="K81" s="11" t="n">
        <v>0.385</v>
      </c>
      <c r="L81" s="12">
        <f>J81*K81</f>
        <v/>
      </c>
      <c r="M81" s="12">
        <f>L81/H81</f>
        <v/>
      </c>
      <c r="N81" s="9" t="inlineStr">
        <is>
          <t>税込</t>
        </is>
      </c>
      <c r="O81" s="8" t="inlineStr">
        <is>
          <t>Credit</t>
        </is>
      </c>
    </row>
    <row r="82">
      <c r="A82" s="8" t="inlineStr">
        <is>
          <t>D2-24</t>
        </is>
      </c>
      <c r="B82" s="9" t="n">
        <v>2</v>
      </c>
      <c r="C82" s="8" t="inlineStr">
        <is>
          <t>28-Jul-2026</t>
        </is>
      </c>
      <c r="D82" s="8" t="inlineStr">
        <is>
          <t>トレカガレージ</t>
        </is>
      </c>
      <c r="E82" s="8" t="inlineStr">
        <is>
          <t>Manaphy AR</t>
        </is>
      </c>
      <c r="F82" s="8" t="inlineStr">
        <is>
          <t>マナフィ 066/062 AR</t>
        </is>
      </c>
      <c r="G82" s="8" t="inlineStr">
        <is>
          <t>Single</t>
        </is>
      </c>
      <c r="H82" s="9" t="n">
        <v>1</v>
      </c>
      <c r="I82" s="10" t="n">
        <v>1750</v>
      </c>
      <c r="J82" s="10" t="n">
        <v>1750</v>
      </c>
      <c r="K82" s="11" t="n">
        <v>0.38</v>
      </c>
      <c r="L82" s="12">
        <f>J82*K82</f>
        <v/>
      </c>
      <c r="M82" s="12">
        <f>L82/H82</f>
        <v/>
      </c>
      <c r="N82" s="9" t="inlineStr">
        <is>
          <t>税込</t>
        </is>
      </c>
      <c r="O82" s="8" t="inlineStr">
        <is>
          <t>Credit</t>
        </is>
      </c>
    </row>
    <row r="83">
      <c r="A83" s="8" t="inlineStr">
        <is>
          <t>D3-07</t>
        </is>
      </c>
      <c r="B83" s="9" t="n">
        <v>3</v>
      </c>
      <c r="C83" s="8" t="inlineStr">
        <is>
          <t>29-Jul-2026</t>
        </is>
      </c>
      <c r="D83" s="8" t="inlineStr">
        <is>
          <t>バトロコ渋谷センター街</t>
        </is>
      </c>
      <c r="E83" s="8" t="inlineStr">
        <is>
          <t>Psyduck AR</t>
        </is>
      </c>
      <c r="F83" s="8" t="inlineStr">
        <is>
          <t>コダック 199/193 · 水</t>
        </is>
      </c>
      <c r="G83" s="8" t="inlineStr">
        <is>
          <t>Single</t>
        </is>
      </c>
      <c r="H83" s="9" t="n">
        <v>1</v>
      </c>
      <c r="I83" s="10" t="n">
        <v>1800</v>
      </c>
      <c r="J83" s="10" t="n">
        <v>1637</v>
      </c>
      <c r="K83" s="11" t="n">
        <v>0.38</v>
      </c>
      <c r="L83" s="12">
        <f>J83*K83</f>
        <v/>
      </c>
      <c r="M83" s="12">
        <f>L83/H83</f>
        <v/>
      </c>
      <c r="N83" s="9" t="inlineStr">
        <is>
          <t>免税</t>
        </is>
      </c>
      <c r="O83" s="8" t="inlineStr">
        <is>
          <t>Not recorded</t>
        </is>
      </c>
    </row>
    <row r="84">
      <c r="A84" s="8" t="inlineStr">
        <is>
          <t>D1-03</t>
        </is>
      </c>
      <c r="B84" s="9" t="n">
        <v>1</v>
      </c>
      <c r="C84" s="8" t="inlineStr">
        <is>
          <t>27-Jul-2026</t>
        </is>
      </c>
      <c r="D84" s="8" t="inlineStr">
        <is>
          <t>Every Toreca</t>
        </is>
      </c>
      <c r="E84" s="8" t="inlineStr">
        <is>
          <t>Emolga AR</t>
        </is>
      </c>
      <c r="F84" s="8" t="inlineStr">
        <is>
          <t>116/086 SV11B Black Bolt</t>
        </is>
      </c>
      <c r="G84" s="8" t="inlineStr">
        <is>
          <t>Single</t>
        </is>
      </c>
      <c r="H84" s="9" t="n">
        <v>1</v>
      </c>
      <c r="I84" s="10" t="n">
        <v>1480</v>
      </c>
      <c r="J84" s="10" t="n">
        <v>1480</v>
      </c>
      <c r="K84" s="11" t="n">
        <v>0.38</v>
      </c>
      <c r="L84" s="12">
        <f>J84*K84</f>
        <v/>
      </c>
      <c r="M84" s="12">
        <f>L84/H84</f>
        <v/>
      </c>
      <c r="N84" s="9" t="inlineStr">
        <is>
          <t>税込</t>
        </is>
      </c>
      <c r="O84" s="8" t="inlineStr">
        <is>
          <t>Card</t>
        </is>
      </c>
    </row>
    <row r="85">
      <c r="A85" s="8" t="inlineStr">
        <is>
          <t>D3-08</t>
        </is>
      </c>
      <c r="B85" s="9" t="n">
        <v>3</v>
      </c>
      <c r="C85" s="8" t="inlineStr">
        <is>
          <t>29-Jul-2026</t>
        </is>
      </c>
      <c r="D85" s="8" t="inlineStr">
        <is>
          <t>バトロコ渋谷センター街</t>
        </is>
      </c>
      <c r="E85" s="8" t="inlineStr">
        <is>
          <t>Rocket's Mewtwo AR</t>
        </is>
      </c>
      <c r="F85" s="8" t="inlineStr">
        <is>
          <t>ロケット団のミュウツー 109/098</t>
        </is>
      </c>
      <c r="G85" s="8" t="inlineStr">
        <is>
          <t>Single</t>
        </is>
      </c>
      <c r="H85" s="9" t="n">
        <v>1</v>
      </c>
      <c r="I85" s="10" t="n">
        <v>1600</v>
      </c>
      <c r="J85" s="10" t="n">
        <v>1455</v>
      </c>
      <c r="K85" s="11" t="n">
        <v>0.38</v>
      </c>
      <c r="L85" s="12">
        <f>J85*K85</f>
        <v/>
      </c>
      <c r="M85" s="12">
        <f>L85/H85</f>
        <v/>
      </c>
      <c r="N85" s="9" t="inlineStr">
        <is>
          <t>免税</t>
        </is>
      </c>
      <c r="O85" s="8" t="inlineStr">
        <is>
          <t>Not recorded</t>
        </is>
      </c>
    </row>
    <row r="86">
      <c r="A86" s="8" t="inlineStr">
        <is>
          <t>D3-09</t>
        </is>
      </c>
      <c r="B86" s="9" t="n">
        <v>3</v>
      </c>
      <c r="C86" s="8" t="inlineStr">
        <is>
          <t>29-Jul-2026</t>
        </is>
      </c>
      <c r="D86" s="8" t="inlineStr">
        <is>
          <t>バトロコ渋谷センター街</t>
        </is>
      </c>
      <c r="E86" s="8" t="inlineStr">
        <is>
          <t>Riolu AR</t>
        </is>
      </c>
      <c r="F86" s="8" t="inlineStr">
        <is>
          <t>リオル 201/172 · 闘</t>
        </is>
      </c>
      <c r="G86" s="8" t="inlineStr">
        <is>
          <t>Single</t>
        </is>
      </c>
      <c r="H86" s="9" t="n">
        <v>1</v>
      </c>
      <c r="I86" s="10" t="n">
        <v>1500</v>
      </c>
      <c r="J86" s="10" t="n">
        <v>1364</v>
      </c>
      <c r="K86" s="11" t="n">
        <v>0.38</v>
      </c>
      <c r="L86" s="12">
        <f>J86*K86</f>
        <v/>
      </c>
      <c r="M86" s="12">
        <f>L86/H86</f>
        <v/>
      </c>
      <c r="N86" s="9" t="inlineStr">
        <is>
          <t>免税</t>
        </is>
      </c>
      <c r="O86" s="8" t="inlineStr">
        <is>
          <t>Not recorded</t>
        </is>
      </c>
    </row>
    <row r="87">
      <c r="A87" s="8" t="inlineStr">
        <is>
          <t>D3-10</t>
        </is>
      </c>
      <c r="B87" s="9" t="n">
        <v>3</v>
      </c>
      <c r="C87" s="8" t="inlineStr">
        <is>
          <t>29-Jul-2026</t>
        </is>
      </c>
      <c r="D87" s="8" t="inlineStr">
        <is>
          <t>バトロコ渋谷センター街</t>
        </is>
      </c>
      <c r="E87" s="8" t="inlineStr">
        <is>
          <t>Mimikyu AR</t>
        </is>
      </c>
      <c r="F87" s="8" t="inlineStr">
        <is>
          <t>ミミッキュ 341/190 · 超</t>
        </is>
      </c>
      <c r="G87" s="8" t="inlineStr">
        <is>
          <t>Single</t>
        </is>
      </c>
      <c r="H87" s="9" t="n">
        <v>1</v>
      </c>
      <c r="I87" s="10" t="n">
        <v>1500</v>
      </c>
      <c r="J87" s="10" t="n">
        <v>1364</v>
      </c>
      <c r="K87" s="11" t="n">
        <v>0.38</v>
      </c>
      <c r="L87" s="12">
        <f>J87*K87</f>
        <v/>
      </c>
      <c r="M87" s="12">
        <f>L87/H87</f>
        <v/>
      </c>
      <c r="N87" s="9" t="inlineStr">
        <is>
          <t>免税</t>
        </is>
      </c>
      <c r="O87" s="8" t="inlineStr">
        <is>
          <t>Not recorded</t>
        </is>
      </c>
    </row>
    <row r="88">
      <c r="A88" s="8" t="inlineStr">
        <is>
          <t>D3-11</t>
        </is>
      </c>
      <c r="B88" s="9" t="n">
        <v>3</v>
      </c>
      <c r="C88" s="8" t="inlineStr">
        <is>
          <t>29-Jul-2026</t>
        </is>
      </c>
      <c r="D88" s="8" t="inlineStr">
        <is>
          <t>バトロコ渋谷センター街</t>
        </is>
      </c>
      <c r="E88" s="8" t="inlineStr">
        <is>
          <t>Flareon CHR</t>
        </is>
      </c>
      <c r="F88" s="8" t="inlineStr">
        <is>
          <t>ブースター 188/184 · 炎</t>
        </is>
      </c>
      <c r="G88" s="8" t="inlineStr">
        <is>
          <t>Single</t>
        </is>
      </c>
      <c r="H88" s="9" t="n">
        <v>1</v>
      </c>
      <c r="I88" s="10" t="n">
        <v>1500</v>
      </c>
      <c r="J88" s="10" t="n">
        <v>1364</v>
      </c>
      <c r="K88" s="11" t="n">
        <v>0.38</v>
      </c>
      <c r="L88" s="12">
        <f>J88*K88</f>
        <v/>
      </c>
      <c r="M88" s="12">
        <f>L88/H88</f>
        <v/>
      </c>
      <c r="N88" s="9" t="inlineStr">
        <is>
          <t>免税</t>
        </is>
      </c>
      <c r="O88" s="8" t="inlineStr">
        <is>
          <t>Not recorded</t>
        </is>
      </c>
    </row>
    <row r="89">
      <c r="A89" s="8" t="inlineStr">
        <is>
          <t>D3-12</t>
        </is>
      </c>
      <c r="B89" s="9" t="n">
        <v>3</v>
      </c>
      <c r="C89" s="8" t="inlineStr">
        <is>
          <t>29-Jul-2026</t>
        </is>
      </c>
      <c r="D89" s="8" t="inlineStr">
        <is>
          <t>バトロコ渋谷センター街</t>
        </is>
      </c>
      <c r="E89" s="8" t="inlineStr">
        <is>
          <t>Snorlax CHR</t>
        </is>
      </c>
      <c r="F89" s="8" t="inlineStr">
        <is>
          <t>カビゴン 077/071 · 無</t>
        </is>
      </c>
      <c r="G89" s="8" t="inlineStr">
        <is>
          <t>Single</t>
        </is>
      </c>
      <c r="H89" s="9" t="n">
        <v>1</v>
      </c>
      <c r="I89" s="10" t="n">
        <v>1500</v>
      </c>
      <c r="J89" s="10" t="n">
        <v>1364</v>
      </c>
      <c r="K89" s="11" t="n">
        <v>0.38</v>
      </c>
      <c r="L89" s="12">
        <f>J89*K89</f>
        <v/>
      </c>
      <c r="M89" s="12">
        <f>L89/H89</f>
        <v/>
      </c>
      <c r="N89" s="9" t="inlineStr">
        <is>
          <t>免税</t>
        </is>
      </c>
      <c r="O89" s="8" t="inlineStr">
        <is>
          <t>Not recorded</t>
        </is>
      </c>
    </row>
    <row r="90">
      <c r="A90" s="8" t="inlineStr">
        <is>
          <t>D6-19</t>
        </is>
      </c>
      <c r="B90" s="9" t="n">
        <v>6</v>
      </c>
      <c r="C90" s="8" t="inlineStr">
        <is>
          <t>01-Aug-2026</t>
        </is>
      </c>
      <c r="D90" s="8" t="inlineStr">
        <is>
          <t>カードショップはっちゃ 日本橋</t>
        </is>
      </c>
      <c r="E90" s="8" t="inlineStr">
        <is>
          <t>Darkrai GX</t>
        </is>
      </c>
      <c r="F90" s="8" t="inlineStr">
        <is>
          <t>ダークライGX 040/049 RR · 悪</t>
        </is>
      </c>
      <c r="G90" s="8" t="inlineStr">
        <is>
          <t>Single</t>
        </is>
      </c>
      <c r="H90" s="9" t="n">
        <v>1</v>
      </c>
      <c r="I90" s="10" t="n">
        <v>1280</v>
      </c>
      <c r="J90" s="10" t="n">
        <v>1280</v>
      </c>
      <c r="K90" s="11" t="n">
        <v>0.385</v>
      </c>
      <c r="L90" s="12">
        <f>J90*K90</f>
        <v/>
      </c>
      <c r="M90" s="12">
        <f>L90/H90</f>
        <v/>
      </c>
      <c r="N90" s="9" t="inlineStr">
        <is>
          <t>税込</t>
        </is>
      </c>
      <c r="O90" s="8" t="inlineStr">
        <is>
          <t>Credit</t>
        </is>
      </c>
    </row>
    <row r="91">
      <c r="A91" s="8" t="inlineStr">
        <is>
          <t>D3-13</t>
        </is>
      </c>
      <c r="B91" s="9" t="n">
        <v>3</v>
      </c>
      <c r="C91" s="8" t="inlineStr">
        <is>
          <t>29-Jul-2026</t>
        </is>
      </c>
      <c r="D91" s="8" t="inlineStr">
        <is>
          <t>バトロコ渋谷センター街</t>
        </is>
      </c>
      <c r="E91" s="8" t="inlineStr">
        <is>
          <t>Jolteon CHR</t>
        </is>
      </c>
      <c r="F91" s="8" t="inlineStr">
        <is>
          <t>サンダース 193/184 · 雷</t>
        </is>
      </c>
      <c r="G91" s="8" t="inlineStr">
        <is>
          <t>Single</t>
        </is>
      </c>
      <c r="H91" s="9" t="n">
        <v>1</v>
      </c>
      <c r="I91" s="10" t="n">
        <v>1300</v>
      </c>
      <c r="J91" s="10" t="n">
        <v>1182</v>
      </c>
      <c r="K91" s="11" t="n">
        <v>0.38</v>
      </c>
      <c r="L91" s="12">
        <f>J91*K91</f>
        <v/>
      </c>
      <c r="M91" s="12">
        <f>L91/H91</f>
        <v/>
      </c>
      <c r="N91" s="9" t="inlineStr">
        <is>
          <t>免税</t>
        </is>
      </c>
      <c r="O91" s="8" t="inlineStr">
        <is>
          <t>Not recorded</t>
        </is>
      </c>
    </row>
    <row r="92">
      <c r="A92" s="8" t="inlineStr">
        <is>
          <t>D2-25</t>
        </is>
      </c>
      <c r="B92" s="9" t="n">
        <v>2</v>
      </c>
      <c r="C92" s="8" t="inlineStr">
        <is>
          <t>28-Jul-2026</t>
        </is>
      </c>
      <c r="D92" s="8" t="inlineStr">
        <is>
          <t>トレカガレージ</t>
        </is>
      </c>
      <c r="E92" s="8" t="inlineStr">
        <is>
          <t>Regigigas VSTAR SAR</t>
        </is>
      </c>
      <c r="F92" s="8" t="inlineStr">
        <is>
          <t>レジギガスVSTAR 233/172 SAR</t>
        </is>
      </c>
      <c r="G92" s="8" t="inlineStr">
        <is>
          <t>Single</t>
        </is>
      </c>
      <c r="H92" s="9" t="n">
        <v>1</v>
      </c>
      <c r="I92" s="10" t="n">
        <v>1170</v>
      </c>
      <c r="J92" s="10" t="n">
        <v>1170</v>
      </c>
      <c r="K92" s="11" t="n">
        <v>0.38</v>
      </c>
      <c r="L92" s="12">
        <f>J92*K92</f>
        <v/>
      </c>
      <c r="M92" s="12">
        <f>L92/H92</f>
        <v/>
      </c>
      <c r="N92" s="9" t="inlineStr">
        <is>
          <t>税込</t>
        </is>
      </c>
      <c r="O92" s="8" t="inlineStr">
        <is>
          <t>Credit</t>
        </is>
      </c>
    </row>
    <row r="93">
      <c r="A93" s="8" t="inlineStr">
        <is>
          <t>D3-14</t>
        </is>
      </c>
      <c r="B93" s="9" t="n">
        <v>3</v>
      </c>
      <c r="C93" s="8" t="inlineStr">
        <is>
          <t>29-Jul-2026</t>
        </is>
      </c>
      <c r="D93" s="8" t="inlineStr">
        <is>
          <t>バトロコ渋谷センター街</t>
        </is>
      </c>
      <c r="E93" s="8" t="inlineStr">
        <is>
          <t>Deoxys AR</t>
        </is>
      </c>
      <c r="F93" s="8" t="inlineStr">
        <is>
          <t>デオキシス 185/172 · 超</t>
        </is>
      </c>
      <c r="G93" s="8" t="inlineStr">
        <is>
          <t>Single</t>
        </is>
      </c>
      <c r="H93" s="9" t="n">
        <v>1</v>
      </c>
      <c r="I93" s="10" t="n">
        <v>1200</v>
      </c>
      <c r="J93" s="10" t="n">
        <v>1091</v>
      </c>
      <c r="K93" s="11" t="n">
        <v>0.38</v>
      </c>
      <c r="L93" s="12">
        <f>J93*K93</f>
        <v/>
      </c>
      <c r="M93" s="12">
        <f>L93/H93</f>
        <v/>
      </c>
      <c r="N93" s="9" t="inlineStr">
        <is>
          <t>免税</t>
        </is>
      </c>
      <c r="O93" s="8" t="inlineStr">
        <is>
          <t>Not recorded</t>
        </is>
      </c>
    </row>
    <row r="94">
      <c r="A94" s="8" t="inlineStr">
        <is>
          <t>D2-12</t>
        </is>
      </c>
      <c r="B94" s="9" t="n">
        <v>2</v>
      </c>
      <c r="C94" s="8" t="inlineStr">
        <is>
          <t>28-Jul-2026</t>
        </is>
      </c>
      <c r="D94" s="8" t="inlineStr">
        <is>
          <t>シンソク新宿店 18:50</t>
        </is>
      </c>
      <c r="E94" s="8" t="inlineStr">
        <is>
          <t>Latias AR (JP)</t>
        </is>
      </c>
      <c r="F94" s="8" t="inlineStr">
        <is>
          <t>手打用シングル · rung manually</t>
        </is>
      </c>
      <c r="G94" s="8" t="inlineStr">
        <is>
          <t>Single</t>
        </is>
      </c>
      <c r="H94" s="9" t="n">
        <v>1</v>
      </c>
      <c r="I94" s="10" t="n">
        <v>1180</v>
      </c>
      <c r="J94" s="10" t="n">
        <v>1073</v>
      </c>
      <c r="K94" s="11" t="n">
        <v>0.38</v>
      </c>
      <c r="L94" s="12">
        <f>J94*K94</f>
        <v/>
      </c>
      <c r="M94" s="12">
        <f>L94/H94</f>
        <v/>
      </c>
      <c r="N94" s="9" t="inlineStr">
        <is>
          <t>免税</t>
        </is>
      </c>
      <c r="O94" s="8" t="inlineStr">
        <is>
          <t>Mastercard 4170</t>
        </is>
      </c>
    </row>
    <row r="95">
      <c r="A95" s="8" t="inlineStr">
        <is>
          <t>D2-26</t>
        </is>
      </c>
      <c r="B95" s="9" t="n">
        <v>2</v>
      </c>
      <c r="C95" s="8" t="inlineStr">
        <is>
          <t>28-Jul-2026</t>
        </is>
      </c>
      <c r="D95" s="8" t="inlineStr">
        <is>
          <t>トレカガレージ</t>
        </is>
      </c>
      <c r="E95" s="8" t="inlineStr">
        <is>
          <t>Lugia V</t>
        </is>
      </c>
      <c r="F95" s="8" t="inlineStr">
        <is>
          <t>ルギアV 079/098 RR · copy 1 of 2</t>
        </is>
      </c>
      <c r="G95" s="8" t="inlineStr">
        <is>
          <t>Single</t>
        </is>
      </c>
      <c r="H95" s="9" t="n">
        <v>1</v>
      </c>
      <c r="I95" s="10" t="n">
        <v>1050</v>
      </c>
      <c r="J95" s="10" t="n">
        <v>1050</v>
      </c>
      <c r="K95" s="11" t="n">
        <v>0.38</v>
      </c>
      <c r="L95" s="12">
        <f>J95*K95</f>
        <v/>
      </c>
      <c r="M95" s="12">
        <f>L95/H95</f>
        <v/>
      </c>
      <c r="N95" s="9" t="inlineStr">
        <is>
          <t>税込</t>
        </is>
      </c>
      <c r="O95" s="8" t="inlineStr">
        <is>
          <t>Credit</t>
        </is>
      </c>
    </row>
    <row r="96">
      <c r="A96" s="8" t="inlineStr">
        <is>
          <t>D2-27</t>
        </is>
      </c>
      <c r="B96" s="9" t="n">
        <v>2</v>
      </c>
      <c r="C96" s="8" t="inlineStr">
        <is>
          <t>28-Jul-2026</t>
        </is>
      </c>
      <c r="D96" s="8" t="inlineStr">
        <is>
          <t>トレカガレージ</t>
        </is>
      </c>
      <c r="E96" s="8" t="inlineStr">
        <is>
          <t>Lugia V</t>
        </is>
      </c>
      <c r="F96" s="8" t="inlineStr">
        <is>
          <t>ルギアV 079/098 RR · copy 2 of 2</t>
        </is>
      </c>
      <c r="G96" s="8" t="inlineStr">
        <is>
          <t>Single</t>
        </is>
      </c>
      <c r="H96" s="9" t="n">
        <v>1</v>
      </c>
      <c r="I96" s="10" t="n">
        <v>1050</v>
      </c>
      <c r="J96" s="10" t="n">
        <v>1050</v>
      </c>
      <c r="K96" s="11" t="n">
        <v>0.38</v>
      </c>
      <c r="L96" s="12">
        <f>J96*K96</f>
        <v/>
      </c>
      <c r="M96" s="12">
        <f>L96/H96</f>
        <v/>
      </c>
      <c r="N96" s="9" t="inlineStr">
        <is>
          <t>税込</t>
        </is>
      </c>
      <c r="O96" s="8" t="inlineStr">
        <is>
          <t>Credit</t>
        </is>
      </c>
    </row>
    <row r="97">
      <c r="A97" s="8" t="inlineStr">
        <is>
          <t>D6-20</t>
        </is>
      </c>
      <c r="B97" s="9" t="n">
        <v>6</v>
      </c>
      <c r="C97" s="8" t="inlineStr">
        <is>
          <t>01-Aug-2026</t>
        </is>
      </c>
      <c r="D97" s="8" t="inlineStr">
        <is>
          <t>カードショップはっちゃ 日本橋</t>
        </is>
      </c>
      <c r="E97" s="8" t="inlineStr">
        <is>
          <t>Mew VMAX</t>
        </is>
      </c>
      <c r="F97" s="8" t="inlineStr">
        <is>
          <t>ミュウVMAX 040/100 · copy 1 of 2</t>
        </is>
      </c>
      <c r="G97" s="8" t="inlineStr">
        <is>
          <t>Single</t>
        </is>
      </c>
      <c r="H97" s="9" t="n">
        <v>1</v>
      </c>
      <c r="I97" s="10" t="n">
        <v>980</v>
      </c>
      <c r="J97" s="10" t="n">
        <v>980</v>
      </c>
      <c r="K97" s="11" t="n">
        <v>0.385</v>
      </c>
      <c r="L97" s="12">
        <f>J97*K97</f>
        <v/>
      </c>
      <c r="M97" s="12">
        <f>L97/H97</f>
        <v/>
      </c>
      <c r="N97" s="9" t="inlineStr">
        <is>
          <t>税込</t>
        </is>
      </c>
      <c r="O97" s="8" t="inlineStr">
        <is>
          <t>Credit</t>
        </is>
      </c>
    </row>
    <row r="98">
      <c r="A98" s="8" t="inlineStr">
        <is>
          <t>D6-21</t>
        </is>
      </c>
      <c r="B98" s="9" t="n">
        <v>6</v>
      </c>
      <c r="C98" s="8" t="inlineStr">
        <is>
          <t>01-Aug-2026</t>
        </is>
      </c>
      <c r="D98" s="8" t="inlineStr">
        <is>
          <t>カードショップはっちゃ 日本橋</t>
        </is>
      </c>
      <c r="E98" s="8" t="inlineStr">
        <is>
          <t>Mew VMAX</t>
        </is>
      </c>
      <c r="F98" s="8" t="inlineStr">
        <is>
          <t>ミュウVMAX 040/100 · copy 2 of 2</t>
        </is>
      </c>
      <c r="G98" s="8" t="inlineStr">
        <is>
          <t>Single</t>
        </is>
      </c>
      <c r="H98" s="9" t="n">
        <v>1</v>
      </c>
      <c r="I98" s="10" t="n">
        <v>980</v>
      </c>
      <c r="J98" s="10" t="n">
        <v>980</v>
      </c>
      <c r="K98" s="11" t="n">
        <v>0.385</v>
      </c>
      <c r="L98" s="12">
        <f>J98*K98</f>
        <v/>
      </c>
      <c r="M98" s="12">
        <f>L98/H98</f>
        <v/>
      </c>
      <c r="N98" s="9" t="inlineStr">
        <is>
          <t>税込</t>
        </is>
      </c>
      <c r="O98" s="8" t="inlineStr">
        <is>
          <t>Credit</t>
        </is>
      </c>
    </row>
    <row r="99">
      <c r="A99" s="8" t="inlineStr">
        <is>
          <t>D3-15</t>
        </is>
      </c>
      <c r="B99" s="9" t="n">
        <v>3</v>
      </c>
      <c r="C99" s="8" t="inlineStr">
        <is>
          <t>29-Jul-2026</t>
        </is>
      </c>
      <c r="D99" s="8" t="inlineStr">
        <is>
          <t>バトロコ渋谷センター街</t>
        </is>
      </c>
      <c r="E99" s="8" t="inlineStr">
        <is>
          <t>Flareon GX (foil)</t>
        </is>
      </c>
      <c r="F99" s="8" t="inlineStr">
        <is>
          <t>ブースターGX 001/038 · 炎</t>
        </is>
      </c>
      <c r="G99" s="8" t="inlineStr">
        <is>
          <t>Single</t>
        </is>
      </c>
      <c r="H99" s="9" t="n">
        <v>1</v>
      </c>
      <c r="I99" s="10" t="n">
        <v>1000</v>
      </c>
      <c r="J99" s="10" t="n">
        <v>910</v>
      </c>
      <c r="K99" s="11" t="n">
        <v>0.38</v>
      </c>
      <c r="L99" s="12">
        <f>J99*K99</f>
        <v/>
      </c>
      <c r="M99" s="12">
        <f>L99/H99</f>
        <v/>
      </c>
      <c r="N99" s="9" t="inlineStr">
        <is>
          <t>免税</t>
        </is>
      </c>
      <c r="O99" s="8" t="inlineStr">
        <is>
          <t>Not recorded</t>
        </is>
      </c>
    </row>
    <row r="100">
      <c r="A100" s="8" t="inlineStr">
        <is>
          <t>D3-16</t>
        </is>
      </c>
      <c r="B100" s="9" t="n">
        <v>3</v>
      </c>
      <c r="C100" s="8" t="inlineStr">
        <is>
          <t>29-Jul-2026</t>
        </is>
      </c>
      <c r="D100" s="8" t="inlineStr">
        <is>
          <t>バトロコ渋谷センター街</t>
        </is>
      </c>
      <c r="E100" s="8" t="inlineStr">
        <is>
          <t>Eevee CHR</t>
        </is>
      </c>
      <c r="F100" s="8" t="inlineStr">
        <is>
          <t>イーブイ 210/184 · copy 1 of 2</t>
        </is>
      </c>
      <c r="G100" s="8" t="inlineStr">
        <is>
          <t>Single</t>
        </is>
      </c>
      <c r="H100" s="9" t="n">
        <v>1</v>
      </c>
      <c r="I100" s="10" t="n">
        <v>1000</v>
      </c>
      <c r="J100" s="10" t="n">
        <v>910</v>
      </c>
      <c r="K100" s="11" t="n">
        <v>0.38</v>
      </c>
      <c r="L100" s="12">
        <f>J100*K100</f>
        <v/>
      </c>
      <c r="M100" s="12">
        <f>L100/H100</f>
        <v/>
      </c>
      <c r="N100" s="9" t="inlineStr">
        <is>
          <t>免税</t>
        </is>
      </c>
      <c r="O100" s="8" t="inlineStr">
        <is>
          <t>Not recorded</t>
        </is>
      </c>
    </row>
    <row r="101">
      <c r="A101" s="8" t="inlineStr">
        <is>
          <t>D3-17</t>
        </is>
      </c>
      <c r="B101" s="9" t="n">
        <v>3</v>
      </c>
      <c r="C101" s="8" t="inlineStr">
        <is>
          <t>29-Jul-2026</t>
        </is>
      </c>
      <c r="D101" s="8" t="inlineStr">
        <is>
          <t>バトロコ渋谷センター街</t>
        </is>
      </c>
      <c r="E101" s="8" t="inlineStr">
        <is>
          <t>Eevee CHR</t>
        </is>
      </c>
      <c r="F101" s="8" t="inlineStr">
        <is>
          <t>イーブイ 210/184 · copy 2 of 2</t>
        </is>
      </c>
      <c r="G101" s="8" t="inlineStr">
        <is>
          <t>Single</t>
        </is>
      </c>
      <c r="H101" s="9" t="n">
        <v>1</v>
      </c>
      <c r="I101" s="10" t="n">
        <v>1000</v>
      </c>
      <c r="J101" s="10" t="n">
        <v>910</v>
      </c>
      <c r="K101" s="11" t="n">
        <v>0.38</v>
      </c>
      <c r="L101" s="12">
        <f>J101*K101</f>
        <v/>
      </c>
      <c r="M101" s="12">
        <f>L101/H101</f>
        <v/>
      </c>
      <c r="N101" s="9" t="inlineStr">
        <is>
          <t>免税</t>
        </is>
      </c>
      <c r="O101" s="8" t="inlineStr">
        <is>
          <t>Not recorded</t>
        </is>
      </c>
    </row>
    <row r="102">
      <c r="A102" s="8" t="inlineStr">
        <is>
          <t>D3-18</t>
        </is>
      </c>
      <c r="B102" s="9" t="n">
        <v>3</v>
      </c>
      <c r="C102" s="8" t="inlineStr">
        <is>
          <t>29-Jul-2026</t>
        </is>
      </c>
      <c r="D102" s="8" t="inlineStr">
        <is>
          <t>バトロコ渋谷センター街</t>
        </is>
      </c>
      <c r="E102" s="8" t="inlineStr">
        <is>
          <t>Vaporeon CHR</t>
        </is>
      </c>
      <c r="F102" s="8" t="inlineStr">
        <is>
          <t>シャワーズ 189/184 · 水</t>
        </is>
      </c>
      <c r="G102" s="8" t="inlineStr">
        <is>
          <t>Single</t>
        </is>
      </c>
      <c r="H102" s="9" t="n">
        <v>1</v>
      </c>
      <c r="I102" s="10" t="n">
        <v>1000</v>
      </c>
      <c r="J102" s="10" t="n">
        <v>910</v>
      </c>
      <c r="K102" s="11" t="n">
        <v>0.38</v>
      </c>
      <c r="L102" s="12">
        <f>J102*K102</f>
        <v/>
      </c>
      <c r="M102" s="12">
        <f>L102/H102</f>
        <v/>
      </c>
      <c r="N102" s="9" t="inlineStr">
        <is>
          <t>免税</t>
        </is>
      </c>
      <c r="O102" s="8" t="inlineStr">
        <is>
          <t>Not recorded</t>
        </is>
      </c>
    </row>
    <row r="103">
      <c r="A103" s="8" t="inlineStr">
        <is>
          <t>D4-09</t>
        </is>
      </c>
      <c r="B103" s="9" t="n">
        <v>4</v>
      </c>
      <c r="C103" s="8" t="inlineStr">
        <is>
          <t>30-Jul-2026</t>
        </is>
      </c>
      <c r="D103" s="8" t="inlineStr">
        <is>
          <t>晴れる屋2 秋葉原タワー店</t>
        </is>
      </c>
      <c r="E103" s="8" t="inlineStr">
        <is>
          <t>Umbreon VMAX</t>
        </is>
      </c>
      <c r="F103" s="8" t="inlineStr">
        <is>
          <t>ブラッキーVMAX 048/069 · S6a</t>
        </is>
      </c>
      <c r="G103" s="8" t="inlineStr">
        <is>
          <t>Single</t>
        </is>
      </c>
      <c r="H103" s="9" t="n">
        <v>1</v>
      </c>
      <c r="I103" s="10" t="n">
        <v>900</v>
      </c>
      <c r="J103" s="10" t="n">
        <v>818</v>
      </c>
      <c r="K103" s="11" t="n">
        <v>0.38</v>
      </c>
      <c r="L103" s="12">
        <f>J103*K103</f>
        <v/>
      </c>
      <c r="M103" s="12">
        <f>L103/H103</f>
        <v/>
      </c>
      <c r="N103" s="9" t="inlineStr">
        <is>
          <t>免税</t>
        </is>
      </c>
      <c r="O103" s="8" t="inlineStr">
        <is>
          <t>Mastercard …7789</t>
        </is>
      </c>
    </row>
    <row r="104">
      <c r="A104" s="8" t="inlineStr">
        <is>
          <t>D3-19</t>
        </is>
      </c>
      <c r="B104" s="9" t="n">
        <v>3</v>
      </c>
      <c r="C104" s="8" t="inlineStr">
        <is>
          <t>29-Jul-2026</t>
        </is>
      </c>
      <c r="D104" s="8" t="inlineStr">
        <is>
          <t>バトロコ渋谷センター街</t>
        </is>
      </c>
      <c r="E104" s="8" t="inlineStr">
        <is>
          <t>Articuno AR</t>
        </is>
      </c>
      <c r="F104" s="8" t="inlineStr">
        <is>
          <t>フリーザー 102/100 · 水</t>
        </is>
      </c>
      <c r="G104" s="8" t="inlineStr">
        <is>
          <t>Single</t>
        </is>
      </c>
      <c r="H104" s="9" t="n">
        <v>1</v>
      </c>
      <c r="I104" s="10" t="n">
        <v>800</v>
      </c>
      <c r="J104" s="10" t="n">
        <v>728</v>
      </c>
      <c r="K104" s="11" t="n">
        <v>0.38</v>
      </c>
      <c r="L104" s="12">
        <f>J104*K104</f>
        <v/>
      </c>
      <c r="M104" s="12">
        <f>L104/H104</f>
        <v/>
      </c>
      <c r="N104" s="9" t="inlineStr">
        <is>
          <t>免税</t>
        </is>
      </c>
      <c r="O104" s="8" t="inlineStr">
        <is>
          <t>Not recorded</t>
        </is>
      </c>
    </row>
    <row r="105">
      <c r="A105" s="8" t="inlineStr">
        <is>
          <t>D3-20</t>
        </is>
      </c>
      <c r="B105" s="9" t="n">
        <v>3</v>
      </c>
      <c r="C105" s="8" t="inlineStr">
        <is>
          <t>29-Jul-2026</t>
        </is>
      </c>
      <c r="D105" s="8" t="inlineStr">
        <is>
          <t>バトロコ渋谷センター街</t>
        </is>
      </c>
      <c r="E105" s="8" t="inlineStr">
        <is>
          <t>Tyranitar AR</t>
        </is>
      </c>
      <c r="F105" s="8" t="inlineStr">
        <is>
          <t>バンギラス 079/071 · 悪</t>
        </is>
      </c>
      <c r="G105" s="8" t="inlineStr">
        <is>
          <t>Single</t>
        </is>
      </c>
      <c r="H105" s="9" t="n">
        <v>1</v>
      </c>
      <c r="I105" s="10" t="n">
        <v>800</v>
      </c>
      <c r="J105" s="10" t="n">
        <v>728</v>
      </c>
      <c r="K105" s="11" t="n">
        <v>0.38</v>
      </c>
      <c r="L105" s="12">
        <f>J105*K105</f>
        <v/>
      </c>
      <c r="M105" s="12">
        <f>L105/H105</f>
        <v/>
      </c>
      <c r="N105" s="9" t="inlineStr">
        <is>
          <t>免税</t>
        </is>
      </c>
      <c r="O105" s="8" t="inlineStr">
        <is>
          <t>Not recorded</t>
        </is>
      </c>
    </row>
    <row r="106">
      <c r="A106" s="8" t="inlineStr">
        <is>
          <t>D4-10</t>
        </is>
      </c>
      <c r="B106" s="9" t="n">
        <v>4</v>
      </c>
      <c r="C106" s="8" t="inlineStr">
        <is>
          <t>30-Jul-2026</t>
        </is>
      </c>
      <c r="D106" s="8" t="inlineStr">
        <is>
          <t>晴れる屋2 秋葉原タワー店</t>
        </is>
      </c>
      <c r="E106" s="8" t="inlineStr">
        <is>
          <t>Sabrina's Psyduck</t>
        </is>
      </c>
      <c r="F106" s="8" t="inlineStr">
        <is>
          <t>ナツメのコダック · OPG2</t>
        </is>
      </c>
      <c r="G106" s="8" t="inlineStr">
        <is>
          <t>Single</t>
        </is>
      </c>
      <c r="H106" s="9" t="n">
        <v>1</v>
      </c>
      <c r="I106" s="10" t="n">
        <v>700</v>
      </c>
      <c r="J106" s="10" t="n">
        <v>636</v>
      </c>
      <c r="K106" s="11" t="n">
        <v>0.38</v>
      </c>
      <c r="L106" s="12">
        <f>J106*K106</f>
        <v/>
      </c>
      <c r="M106" s="12">
        <f>L106/H106</f>
        <v/>
      </c>
      <c r="N106" s="9" t="inlineStr">
        <is>
          <t>免税</t>
        </is>
      </c>
      <c r="O106" s="8" t="inlineStr">
        <is>
          <t>Mastercard …7789</t>
        </is>
      </c>
    </row>
    <row r="107">
      <c r="A107" s="8" t="inlineStr">
        <is>
          <t>D3-21</t>
        </is>
      </c>
      <c r="B107" s="9" t="n">
        <v>3</v>
      </c>
      <c r="C107" s="8" t="inlineStr">
        <is>
          <t>29-Jul-2026</t>
        </is>
      </c>
      <c r="D107" s="8" t="inlineStr">
        <is>
          <t>バトロコ渋谷センター街</t>
        </is>
      </c>
      <c r="E107" s="8" t="inlineStr">
        <is>
          <t>Poochyena AR</t>
        </is>
      </c>
      <c r="F107" s="8" t="inlineStr">
        <is>
          <t>ポチエナ 208/172 · 悪</t>
        </is>
      </c>
      <c r="G107" s="8" t="inlineStr">
        <is>
          <t>Single</t>
        </is>
      </c>
      <c r="H107" s="9" t="n">
        <v>1</v>
      </c>
      <c r="I107" s="10" t="n">
        <v>600</v>
      </c>
      <c r="J107" s="10" t="n">
        <v>546</v>
      </c>
      <c r="K107" s="11" t="n">
        <v>0.38</v>
      </c>
      <c r="L107" s="12">
        <f>J107*K107</f>
        <v/>
      </c>
      <c r="M107" s="12">
        <f>L107/H107</f>
        <v/>
      </c>
      <c r="N107" s="9" t="inlineStr">
        <is>
          <t>免税</t>
        </is>
      </c>
      <c r="O107" s="8" t="inlineStr">
        <is>
          <t>Not recorded</t>
        </is>
      </c>
    </row>
    <row r="108">
      <c r="A108" s="8" t="inlineStr">
        <is>
          <t>D4-11</t>
        </is>
      </c>
      <c r="B108" s="9" t="n">
        <v>4</v>
      </c>
      <c r="C108" s="8" t="inlineStr">
        <is>
          <t>30-Jul-2026</t>
        </is>
      </c>
      <c r="D108" s="8" t="inlineStr">
        <is>
          <t>晴れる屋2 秋葉原タワー店</t>
        </is>
      </c>
      <c r="E108" s="8" t="inlineStr">
        <is>
          <t>Metagross PROMO</t>
        </is>
      </c>
      <c r="F108" s="8" t="inlineStr">
        <is>
          <t>メタグロス 016/PCG-P</t>
        </is>
      </c>
      <c r="G108" s="8" t="inlineStr">
        <is>
          <t>Single</t>
        </is>
      </c>
      <c r="H108" s="9" t="n">
        <v>1</v>
      </c>
      <c r="I108" s="10" t="n">
        <v>500</v>
      </c>
      <c r="J108" s="10" t="n">
        <v>455</v>
      </c>
      <c r="K108" s="11" t="n">
        <v>0.38</v>
      </c>
      <c r="L108" s="12">
        <f>J108*K108</f>
        <v/>
      </c>
      <c r="M108" s="12">
        <f>L108/H108</f>
        <v/>
      </c>
      <c r="N108" s="9" t="inlineStr">
        <is>
          <t>免税</t>
        </is>
      </c>
      <c r="O108" s="8" t="inlineStr">
        <is>
          <t>Mastercard …7789</t>
        </is>
      </c>
    </row>
    <row r="109">
      <c r="A109" s="8" t="inlineStr">
        <is>
          <t>D4-12</t>
        </is>
      </c>
      <c r="B109" s="9" t="n">
        <v>4</v>
      </c>
      <c r="C109" s="8" t="inlineStr">
        <is>
          <t>30-Jul-2026</t>
        </is>
      </c>
      <c r="D109" s="8" t="inlineStr">
        <is>
          <t>晴れる屋2 秋葉原タワー店</t>
        </is>
      </c>
      <c r="E109" s="8" t="inlineStr">
        <is>
          <t>Mimikyu PROMO</t>
        </is>
      </c>
      <c r="F109" s="8" t="inlineStr">
        <is>
          <t>ミミッキュ 156/SV-P</t>
        </is>
      </c>
      <c r="G109" s="8" t="inlineStr">
        <is>
          <t>Single</t>
        </is>
      </c>
      <c r="H109" s="9" t="n">
        <v>1</v>
      </c>
      <c r="I109" s="10" t="n">
        <v>500</v>
      </c>
      <c r="J109" s="10" t="n">
        <v>455</v>
      </c>
      <c r="K109" s="11" t="n">
        <v>0.38</v>
      </c>
      <c r="L109" s="12">
        <f>J109*K109</f>
        <v/>
      </c>
      <c r="M109" s="12">
        <f>L109/H109</f>
        <v/>
      </c>
      <c r="N109" s="9" t="inlineStr">
        <is>
          <t>免税</t>
        </is>
      </c>
      <c r="O109" s="8" t="inlineStr">
        <is>
          <t>Mastercard …7789</t>
        </is>
      </c>
    </row>
    <row r="110">
      <c r="A110" s="8" t="inlineStr">
        <is>
          <t>D2-28</t>
        </is>
      </c>
      <c r="B110" s="9" t="n">
        <v>2</v>
      </c>
      <c r="C110" s="8" t="inlineStr">
        <is>
          <t>28-Jul-2026</t>
        </is>
      </c>
      <c r="D110" s="8" t="inlineStr">
        <is>
          <t>トレカガレージ</t>
        </is>
      </c>
      <c r="E110" s="8" t="inlineStr">
        <is>
          <t>Slakoth AR (JP)</t>
        </is>
      </c>
      <c r="F110" s="8" t="inlineStr">
        <is>
          <t>ナマケロ 117/106 AR</t>
        </is>
      </c>
      <c r="G110" s="8" t="inlineStr">
        <is>
          <t>Single</t>
        </is>
      </c>
      <c r="H110" s="9" t="n">
        <v>1</v>
      </c>
      <c r="I110" s="10" t="n">
        <v>410</v>
      </c>
      <c r="J110" s="10" t="n">
        <v>410</v>
      </c>
      <c r="K110" s="11" t="n">
        <v>0.38</v>
      </c>
      <c r="L110" s="12">
        <f>J110*K110</f>
        <v/>
      </c>
      <c r="M110" s="12">
        <f>L110/H110</f>
        <v/>
      </c>
      <c r="N110" s="9" t="inlineStr">
        <is>
          <t>税込</t>
        </is>
      </c>
      <c r="O110" s="8" t="inlineStr">
        <is>
          <t>Credit</t>
        </is>
      </c>
    </row>
    <row r="111">
      <c r="A111" s="8" t="inlineStr">
        <is>
          <t>D2-29</t>
        </is>
      </c>
      <c r="B111" s="9" t="n">
        <v>2</v>
      </c>
      <c r="C111" s="8" t="inlineStr">
        <is>
          <t>28-Jul-2026</t>
        </is>
      </c>
      <c r="D111" s="8" t="inlineStr">
        <is>
          <t>トレカガレージ</t>
        </is>
      </c>
      <c r="E111" s="8" t="inlineStr">
        <is>
          <t>Snorlax R</t>
        </is>
      </c>
      <c r="F111" s="8" t="inlineStr">
        <is>
          <t>カビゴン 056/071 R</t>
        </is>
      </c>
      <c r="G111" s="8" t="inlineStr">
        <is>
          <t>Single</t>
        </is>
      </c>
      <c r="H111" s="9" t="n">
        <v>1</v>
      </c>
      <c r="I111" s="10" t="n">
        <v>400</v>
      </c>
      <c r="J111" s="10" t="n">
        <v>400</v>
      </c>
      <c r="K111" s="11" t="n">
        <v>0.38</v>
      </c>
      <c r="L111" s="12">
        <f>J111*K111</f>
        <v/>
      </c>
      <c r="M111" s="12">
        <f>L111/H111</f>
        <v/>
      </c>
      <c r="N111" s="9" t="inlineStr">
        <is>
          <t>税込</t>
        </is>
      </c>
      <c r="O111" s="8" t="inlineStr">
        <is>
          <t>Credit</t>
        </is>
      </c>
    </row>
    <row r="112">
      <c r="A112" s="8" t="inlineStr">
        <is>
          <t>D6-22</t>
        </is>
      </c>
      <c r="B112" s="9" t="n">
        <v>6</v>
      </c>
      <c r="C112" s="8" t="inlineStr">
        <is>
          <t>01-Aug-2026</t>
        </is>
      </c>
      <c r="D112" s="8" t="inlineStr">
        <is>
          <t>カードショップはっちゃ 日本橋</t>
        </is>
      </c>
      <c r="E112" s="8" t="inlineStr">
        <is>
          <t>Zorua AR</t>
        </is>
      </c>
      <c r="F112" s="8" t="inlineStr">
        <is>
          <t>ゾロア 072/064 AR · 悪</t>
        </is>
      </c>
      <c r="G112" s="8" t="inlineStr">
        <is>
          <t>Single</t>
        </is>
      </c>
      <c r="H112" s="9" t="n">
        <v>1</v>
      </c>
      <c r="I112" s="10" t="n">
        <v>380</v>
      </c>
      <c r="J112" s="10" t="n">
        <v>380</v>
      </c>
      <c r="K112" s="11" t="n">
        <v>0.385</v>
      </c>
      <c r="L112" s="12">
        <f>J112*K112</f>
        <v/>
      </c>
      <c r="M112" s="12">
        <f>L112/H112</f>
        <v/>
      </c>
      <c r="N112" s="9" t="inlineStr">
        <is>
          <t>税込</t>
        </is>
      </c>
      <c r="O112" s="8" t="inlineStr">
        <is>
          <t>Credit</t>
        </is>
      </c>
    </row>
    <row r="113">
      <c r="A113" s="8" t="inlineStr">
        <is>
          <t>D4-13</t>
        </is>
      </c>
      <c r="B113" s="9" t="n">
        <v>4</v>
      </c>
      <c r="C113" s="8" t="inlineStr">
        <is>
          <t>30-Jul-2026</t>
        </is>
      </c>
      <c r="D113" s="8" t="inlineStr">
        <is>
          <t>晴れる屋2 秋葉原タワー店</t>
        </is>
      </c>
      <c r="E113" s="8" t="inlineStr">
        <is>
          <t>Scizor AR</t>
        </is>
      </c>
      <c r="F113" s="8" t="inlineStr">
        <is>
          <t>ハッサム 116/108 · SV3</t>
        </is>
      </c>
      <c r="G113" s="8" t="inlineStr">
        <is>
          <t>Single</t>
        </is>
      </c>
      <c r="H113" s="9" t="n">
        <v>1</v>
      </c>
      <c r="I113" s="10" t="n">
        <v>400</v>
      </c>
      <c r="J113" s="10" t="n">
        <v>364</v>
      </c>
      <c r="K113" s="11" t="n">
        <v>0.38</v>
      </c>
      <c r="L113" s="12">
        <f>J113*K113</f>
        <v/>
      </c>
      <c r="M113" s="12">
        <f>L113/H113</f>
        <v/>
      </c>
      <c r="N113" s="9" t="inlineStr">
        <is>
          <t>免税</t>
        </is>
      </c>
      <c r="O113" s="8" t="inlineStr">
        <is>
          <t>Mastercard …7789</t>
        </is>
      </c>
    </row>
    <row r="114">
      <c r="A114" s="8" t="inlineStr">
        <is>
          <t>D4-14</t>
        </is>
      </c>
      <c r="B114" s="9" t="n">
        <v>4</v>
      </c>
      <c r="C114" s="8" t="inlineStr">
        <is>
          <t>30-Jul-2026</t>
        </is>
      </c>
      <c r="D114" s="8" t="inlineStr">
        <is>
          <t>晴れる屋2 秋葉原タワー店</t>
        </is>
      </c>
      <c r="E114" s="8" t="inlineStr">
        <is>
          <t>Misty's Psyduck LV.18</t>
        </is>
      </c>
      <c r="F114" s="8" t="inlineStr">
        <is>
          <t>カスミのコダックLV.18 · OPG1</t>
        </is>
      </c>
      <c r="G114" s="8" t="inlineStr">
        <is>
          <t>Single</t>
        </is>
      </c>
      <c r="H114" s="9" t="n">
        <v>1</v>
      </c>
      <c r="I114" s="10" t="n">
        <v>400</v>
      </c>
      <c r="J114" s="10" t="n">
        <v>364</v>
      </c>
      <c r="K114" s="11" t="n">
        <v>0.38</v>
      </c>
      <c r="L114" s="12">
        <f>J114*K114</f>
        <v/>
      </c>
      <c r="M114" s="12">
        <f>L114/H114</f>
        <v/>
      </c>
      <c r="N114" s="9" t="inlineStr">
        <is>
          <t>免税</t>
        </is>
      </c>
      <c r="O114" s="8" t="inlineStr">
        <is>
          <t>Mastercard …7789</t>
        </is>
      </c>
    </row>
    <row r="115">
      <c r="A115" s="8" t="inlineStr">
        <is>
          <t>D4-15</t>
        </is>
      </c>
      <c r="B115" s="9" t="n">
        <v>4</v>
      </c>
      <c r="C115" s="8" t="inlineStr">
        <is>
          <t>30-Jul-2026</t>
        </is>
      </c>
      <c r="D115" s="8" t="inlineStr">
        <is>
          <t>晴れる屋2 秋葉原タワー店</t>
        </is>
      </c>
      <c r="E115" s="8" t="inlineStr">
        <is>
          <t>Gardevoir GX</t>
        </is>
      </c>
      <c r="F115" s="8" t="inlineStr">
        <is>
          <t>サーナイトGX 092/150 · SM8b</t>
        </is>
      </c>
      <c r="G115" s="8" t="inlineStr">
        <is>
          <t>Single</t>
        </is>
      </c>
      <c r="H115" s="9" t="n">
        <v>1</v>
      </c>
      <c r="I115" s="10" t="n">
        <v>100</v>
      </c>
      <c r="J115" s="10" t="n">
        <v>90</v>
      </c>
      <c r="K115" s="11" t="n">
        <v>0.38</v>
      </c>
      <c r="L115" s="12">
        <f>J115*K115</f>
        <v/>
      </c>
      <c r="M115" s="12">
        <f>L115/H115</f>
        <v/>
      </c>
      <c r="N115" s="9" t="inlineStr">
        <is>
          <t>免税</t>
        </is>
      </c>
      <c r="O115" s="8" t="inlineStr">
        <is>
          <t>Mastercard …7789</t>
        </is>
      </c>
    </row>
    <row r="116">
      <c r="A116" s="13" t="inlineStr">
        <is>
          <t>Subtotal — Single</t>
        </is>
      </c>
      <c r="B116" s="14" t="n"/>
      <c r="C116" s="14" t="n"/>
      <c r="D116" s="14" t="n"/>
      <c r="E116" s="14" t="n"/>
      <c r="F116" s="14" t="n"/>
      <c r="G116" s="14" t="n"/>
      <c r="H116" s="15">
        <f>SUM(H39:H115)</f>
        <v/>
      </c>
      <c r="I116" s="15">
        <f>SUM(I39:I115)</f>
        <v/>
      </c>
      <c r="J116" s="15">
        <f>SUM(J39:J115)</f>
        <v/>
      </c>
      <c r="K116" s="14" t="n"/>
      <c r="L116" s="16">
        <f>SUM(L39:L115)</f>
        <v/>
      </c>
      <c r="M116" s="14" t="n"/>
      <c r="N116" s="14" t="n"/>
      <c r="O116" s="14" t="n"/>
    </row>
    <row r="118">
      <c r="A118" s="17" t="inlineStr">
        <is>
          <t>TOTAL — Russel's inventory</t>
        </is>
      </c>
      <c r="B118" s="18" t="n"/>
      <c r="C118" s="18" t="n"/>
      <c r="D118" s="18" t="n"/>
      <c r="E118" s="18" t="n"/>
      <c r="F118" s="18" t="n"/>
      <c r="G118" s="18" t="n"/>
      <c r="H118" s="19">
        <f>H17+H36+H116</f>
        <v/>
      </c>
      <c r="I118" s="19">
        <f>I17+I36+I116</f>
        <v/>
      </c>
      <c r="J118" s="19">
        <f>J17+J36+J116</f>
        <v/>
      </c>
      <c r="K118" s="18" t="n"/>
      <c r="L118" s="20">
        <f>L17+L36+L116</f>
        <v/>
      </c>
      <c r="M118" s="18" t="n"/>
      <c r="N118" s="18" t="n"/>
      <c r="O118" s="18" t="n"/>
    </row>
  </sheetData>
  <autoFilter ref="A1:O118"/>
  <mergeCells count="3">
    <mergeCell ref="A38:O38"/>
    <mergeCell ref="A19:O19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Russel's inventory — summary</t>
        </is>
      </c>
    </row>
    <row r="2">
      <c r="A2" s="21" t="inlineStr">
        <is>
          <t>All figures pull from the Inventory tab.</t>
        </is>
      </c>
    </row>
    <row r="4">
      <c r="A4" s="22" t="inlineStr">
        <is>
          <t>By category</t>
        </is>
      </c>
    </row>
    <row r="5">
      <c r="A5" s="23" t="inlineStr">
        <is>
          <t>Category</t>
        </is>
      </c>
      <c r="B5" s="23" t="inlineStr">
        <is>
          <t>Lines</t>
        </is>
      </c>
      <c r="C5" s="23" t="inlineStr">
        <is>
          <t>Items</t>
        </is>
      </c>
      <c r="D5" s="23" t="inlineStr">
        <is>
          <t>Paid ¥</t>
        </is>
      </c>
      <c r="E5" s="23" t="inlineStr">
        <is>
          <t>Cost ₱</t>
        </is>
      </c>
    </row>
    <row r="6">
      <c r="A6" s="3" t="inlineStr">
        <is>
          <t>PSA Slab</t>
        </is>
      </c>
      <c r="B6" s="3">
        <f>COUNTIFS(Inventory!$G$2:$G$118,$A6)</f>
        <v/>
      </c>
      <c r="C6" s="3">
        <f>SUMIFS(Inventory!$H$2:$H$118,Inventory!$G$2:$G$118,$A6)</f>
        <v/>
      </c>
      <c r="D6" s="24">
        <f>SUMIFS(Inventory!$J$2:$J$118,Inventory!$G$2:$G$118,$A6)</f>
        <v/>
      </c>
      <c r="E6" s="25">
        <f>SUMIFS(Inventory!$L$2:$L$118,Inventory!$G$2:$G$118,$A6)</f>
        <v/>
      </c>
    </row>
    <row r="7">
      <c r="A7" s="3" t="inlineStr">
        <is>
          <t>Sealed</t>
        </is>
      </c>
      <c r="B7" s="3">
        <f>COUNTIFS(Inventory!$G$2:$G$118,$A7)</f>
        <v/>
      </c>
      <c r="C7" s="3">
        <f>SUMIFS(Inventory!$H$2:$H$118,Inventory!$G$2:$G$118,$A7)</f>
        <v/>
      </c>
      <c r="D7" s="24">
        <f>SUMIFS(Inventory!$J$2:$J$118,Inventory!$G$2:$G$118,$A7)</f>
        <v/>
      </c>
      <c r="E7" s="25">
        <f>SUMIFS(Inventory!$L$2:$L$118,Inventory!$G$2:$G$118,$A7)</f>
        <v/>
      </c>
    </row>
    <row r="8">
      <c r="A8" s="3" t="inlineStr">
        <is>
          <t>Single</t>
        </is>
      </c>
      <c r="B8" s="3">
        <f>COUNTIFS(Inventory!$G$2:$G$118,$A8)</f>
        <v/>
      </c>
      <c r="C8" s="3">
        <f>SUMIFS(Inventory!$H$2:$H$118,Inventory!$G$2:$G$118,$A8)</f>
        <v/>
      </c>
      <c r="D8" s="24">
        <f>SUMIFS(Inventory!$J$2:$J$118,Inventory!$G$2:$G$118,$A8)</f>
        <v/>
      </c>
      <c r="E8" s="25">
        <f>SUMIFS(Inventory!$L$2:$L$118,Inventory!$G$2:$G$118,$A8)</f>
        <v/>
      </c>
    </row>
    <row r="9">
      <c r="A9" s="4" t="inlineStr">
        <is>
          <t>Total</t>
        </is>
      </c>
      <c r="B9" s="26">
        <f>SUM(B6:B8)</f>
        <v/>
      </c>
      <c r="C9" s="26">
        <f>SUM(C6:C8)</f>
        <v/>
      </c>
      <c r="D9" s="26">
        <f>SUM(D6:D8)</f>
        <v/>
      </c>
      <c r="E9" s="27">
        <f>SUM(E6:E8)</f>
        <v/>
      </c>
    </row>
    <row r="12">
      <c r="A12" s="22" t="inlineStr">
        <is>
          <t>By day</t>
        </is>
      </c>
    </row>
    <row r="13">
      <c r="A13" s="23" t="inlineStr">
        <is>
          <t>Day</t>
        </is>
      </c>
      <c r="B13" s="23" t="inlineStr">
        <is>
          <t>Lines</t>
        </is>
      </c>
      <c r="C13" s="23" t="inlineStr">
        <is>
          <t>Items</t>
        </is>
      </c>
      <c r="D13" s="23" t="inlineStr">
        <is>
          <t>Paid ¥</t>
        </is>
      </c>
      <c r="E13" s="23" t="inlineStr">
        <is>
          <t>Cost ₱</t>
        </is>
      </c>
    </row>
    <row r="14">
      <c r="A14" s="3" t="inlineStr">
        <is>
          <t>Day 1 — Akihabara</t>
        </is>
      </c>
      <c r="B14" s="3">
        <f>COUNTIFS(Inventory!$B$2:$B$118,1)</f>
        <v/>
      </c>
      <c r="C14" s="3">
        <f>SUMIFS(Inventory!$H$2:$H$118,Inventory!$B$2:$B$118,1)</f>
        <v/>
      </c>
      <c r="D14" s="24">
        <f>SUMIFS(Inventory!$J$2:$J$118,Inventory!$B$2:$B$118,1)</f>
        <v/>
      </c>
      <c r="E14" s="25">
        <f>SUMIFS(Inventory!$L$2:$L$118,Inventory!$B$2:$B$118,1)</f>
        <v/>
      </c>
    </row>
    <row r="15">
      <c r="A15" s="3" t="inlineStr">
        <is>
          <t>Day 2 — Shinjuku</t>
        </is>
      </c>
      <c r="B15" s="3">
        <f>COUNTIFS(Inventory!$B$2:$B$118,2)</f>
        <v/>
      </c>
      <c r="C15" s="3">
        <f>SUMIFS(Inventory!$H$2:$H$118,Inventory!$B$2:$B$118,2)</f>
        <v/>
      </c>
      <c r="D15" s="24">
        <f>SUMIFS(Inventory!$J$2:$J$118,Inventory!$B$2:$B$118,2)</f>
        <v/>
      </c>
      <c r="E15" s="25">
        <f>SUMIFS(Inventory!$L$2:$L$118,Inventory!$B$2:$B$118,2)</f>
        <v/>
      </c>
    </row>
    <row r="16">
      <c r="A16" s="3" t="inlineStr">
        <is>
          <t>Day 3 — Shibuya</t>
        </is>
      </c>
      <c r="B16" s="3">
        <f>COUNTIFS(Inventory!$B$2:$B$118,3)</f>
        <v/>
      </c>
      <c r="C16" s="3">
        <f>SUMIFS(Inventory!$H$2:$H$118,Inventory!$B$2:$B$118,3)</f>
        <v/>
      </c>
      <c r="D16" s="24">
        <f>SUMIFS(Inventory!$J$2:$J$118,Inventory!$B$2:$B$118,3)</f>
        <v/>
      </c>
      <c r="E16" s="25">
        <f>SUMIFS(Inventory!$L$2:$L$118,Inventory!$B$2:$B$118,3)</f>
        <v/>
      </c>
    </row>
    <row r="17">
      <c r="A17" s="3" t="inlineStr">
        <is>
          <t>Day 4 — Akihabara</t>
        </is>
      </c>
      <c r="B17" s="3">
        <f>COUNTIFS(Inventory!$B$2:$B$118,4)</f>
        <v/>
      </c>
      <c r="C17" s="3">
        <f>SUMIFS(Inventory!$H$2:$H$118,Inventory!$B$2:$B$118,4)</f>
        <v/>
      </c>
      <c r="D17" s="24">
        <f>SUMIFS(Inventory!$J$2:$J$118,Inventory!$B$2:$B$118,4)</f>
        <v/>
      </c>
      <c r="E17" s="25">
        <f>SUMIFS(Inventory!$L$2:$L$118,Inventory!$B$2:$B$118,4)</f>
        <v/>
      </c>
    </row>
    <row r="18">
      <c r="A18" s="3" t="inlineStr">
        <is>
          <t>Day 6 — Osaka</t>
        </is>
      </c>
      <c r="B18" s="3">
        <f>COUNTIFS(Inventory!$B$2:$B$118,6)</f>
        <v/>
      </c>
      <c r="C18" s="3">
        <f>SUMIFS(Inventory!$H$2:$H$118,Inventory!$B$2:$B$118,6)</f>
        <v/>
      </c>
      <c r="D18" s="24">
        <f>SUMIFS(Inventory!$J$2:$J$118,Inventory!$B$2:$B$118,6)</f>
        <v/>
      </c>
      <c r="E18" s="25">
        <f>SUMIFS(Inventory!$L$2:$L$118,Inventory!$B$2:$B$118,6)</f>
        <v/>
      </c>
    </row>
    <row r="19">
      <c r="A19" s="4" t="inlineStr">
        <is>
          <t>Total</t>
        </is>
      </c>
      <c r="B19" s="26">
        <f>SUM(B14:B18)</f>
        <v/>
      </c>
      <c r="C19" s="26">
        <f>SUM(C14:C18)</f>
        <v/>
      </c>
      <c r="D19" s="26">
        <f>SUM(D14:D18)</f>
        <v/>
      </c>
      <c r="E19" s="27">
        <f>SUM(E14:E18)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9" customWidth="1" min="5" max="5"/>
    <col width="14" customWidth="1" min="6" max="6"/>
  </cols>
  <sheetData>
    <row r="1">
      <c r="A1" s="1" t="inlineStr">
        <is>
          <t>Owed to Russel</t>
        </is>
      </c>
    </row>
    <row r="2">
      <c r="A2" s="21" t="inlineStr">
        <is>
          <t>Cards and costs Russel fronted for other people. None of this is in the Inventory tab.</t>
        </is>
      </c>
    </row>
    <row r="4">
      <c r="A4" s="22" t="inlineStr">
        <is>
          <t>EUGENE — 12 cards + pharmacy</t>
        </is>
      </c>
    </row>
    <row r="5">
      <c r="A5" s="23" t="inlineStr">
        <is>
          <t>Line</t>
        </is>
      </c>
      <c r="B5" s="23" t="inlineStr">
        <is>
          <t>Item</t>
        </is>
      </c>
      <c r="C5" s="23" t="inlineStr">
        <is>
          <t>Detail</t>
        </is>
      </c>
      <c r="D5" s="23" t="inlineStr">
        <is>
          <t>Amount ¥</t>
        </is>
      </c>
      <c r="E5" s="23" t="inlineStr">
        <is>
          <t>FX</t>
        </is>
      </c>
      <c r="F5" s="23" t="inlineStr">
        <is>
          <t>Owed ₱</t>
        </is>
      </c>
    </row>
    <row r="6">
      <c r="A6" s="8" t="inlineStr">
        <is>
          <t>D2-04</t>
        </is>
      </c>
      <c r="B6" s="8" t="inlineStr">
        <is>
          <t>Gengar LV.38</t>
        </is>
      </c>
      <c r="C6" s="8" t="inlineStr">
        <is>
          <t>ゲンガー LV.38 · Shinsoku Day 2</t>
        </is>
      </c>
      <c r="D6" s="10" t="n">
        <v>10727</v>
      </c>
      <c r="E6" s="11" t="n">
        <v>0.38</v>
      </c>
      <c r="F6" s="12">
        <f>D6*E6</f>
        <v/>
      </c>
    </row>
    <row r="7">
      <c r="A7" s="8" t="inlineStr">
        <is>
          <t>D2-11</t>
        </is>
      </c>
      <c r="B7" s="8" t="inlineStr">
        <is>
          <t>Pikachu — Jungle (JP)</t>
        </is>
      </c>
      <c r="C7" s="8" t="inlineStr">
        <is>
          <t>手打用シングル · Shinsoku Day 2</t>
        </is>
      </c>
      <c r="D7" s="10" t="n">
        <v>1982</v>
      </c>
      <c r="E7" s="11" t="n">
        <v>0.38</v>
      </c>
      <c r="F7" s="12">
        <f>D7*E7</f>
        <v/>
      </c>
    </row>
    <row r="8">
      <c r="A8" s="8" t="inlineStr">
        <is>
          <t>D6-25</t>
        </is>
      </c>
      <c r="B8" s="8" t="inlineStr">
        <is>
          <t>Pikachu CHR</t>
        </is>
      </c>
      <c r="C8" s="8" t="inlineStr">
        <is>
          <t>ピカチュウ 073/071 · Sunrise, net of bill discount</t>
        </is>
      </c>
      <c r="D8" s="10" t="n">
        <v>6402</v>
      </c>
      <c r="E8" s="11" t="n">
        <v>0.385</v>
      </c>
      <c r="F8" s="12">
        <f>D8*E8</f>
        <v/>
      </c>
    </row>
    <row r="9">
      <c r="A9" s="8" t="inlineStr">
        <is>
          <t>D6-26</t>
        </is>
      </c>
      <c r="B9" s="8" t="inlineStr">
        <is>
          <t>Pikachu PROMO</t>
        </is>
      </c>
      <c r="C9" s="8" t="inlineStr">
        <is>
          <t>ピカチュウ 001/SV-P · Sunrise, net of bill discount</t>
        </is>
      </c>
      <c r="D9" s="10" t="n">
        <v>4137</v>
      </c>
      <c r="E9" s="11" t="n">
        <v>0.385</v>
      </c>
      <c r="F9" s="12">
        <f>D9*E9</f>
        <v/>
      </c>
    </row>
    <row r="10">
      <c r="A10" s="8" t="inlineStr">
        <is>
          <t>D6-27</t>
        </is>
      </c>
      <c r="B10" s="8" t="inlineStr">
        <is>
          <t>Misty's Psyduck AR</t>
        </is>
      </c>
      <c r="C10" s="8" t="inlineStr">
        <is>
          <t>カスミのコダック 071/063 · Sunrise</t>
        </is>
      </c>
      <c r="D10" s="10" t="n">
        <v>3447</v>
      </c>
      <c r="E10" s="11" t="n">
        <v>0.385</v>
      </c>
      <c r="F10" s="12">
        <f>D10*E10</f>
        <v/>
      </c>
    </row>
    <row r="11">
      <c r="A11" s="8" t="inlineStr">
        <is>
          <t>D6-28</t>
        </is>
      </c>
      <c r="B11" s="8" t="inlineStr">
        <is>
          <t>Psyduck AR</t>
        </is>
      </c>
      <c r="C11" s="8" t="inlineStr">
        <is>
          <t>コダック 175/165 · Sunrise</t>
        </is>
      </c>
      <c r="D11" s="10" t="n">
        <v>2462</v>
      </c>
      <c r="E11" s="11" t="n">
        <v>0.385</v>
      </c>
      <c r="F11" s="12">
        <f>D11*E11</f>
        <v/>
      </c>
    </row>
    <row r="12">
      <c r="A12" s="8" t="inlineStr">
        <is>
          <t>D6-29</t>
        </is>
      </c>
      <c r="B12" s="8" t="inlineStr">
        <is>
          <t>Glaceon VSTAR SAR</t>
        </is>
      </c>
      <c r="C12" s="8" t="inlineStr">
        <is>
          <t>グレイシアVSTAR 217/172 · no receipt</t>
        </is>
      </c>
      <c r="D12" s="10" t="n">
        <v>5480</v>
      </c>
      <c r="E12" s="11" t="n">
        <v>0.385</v>
      </c>
      <c r="F12" s="12">
        <f>D12*E12</f>
        <v/>
      </c>
    </row>
    <row r="13">
      <c r="A13" s="8" t="inlineStr">
        <is>
          <t>D6-30</t>
        </is>
      </c>
      <c r="B13" s="8" t="inlineStr">
        <is>
          <t>SAR 245/193 (M2a)</t>
        </is>
      </c>
      <c r="C13" s="8" t="inlineStr">
        <is>
          <t>tag katakana unclear · copy 1 of 2 · no receipt</t>
        </is>
      </c>
      <c r="D13" s="10" t="n">
        <v>3680</v>
      </c>
      <c r="E13" s="11" t="n">
        <v>0.385</v>
      </c>
      <c r="F13" s="12">
        <f>D13*E13</f>
        <v/>
      </c>
    </row>
    <row r="14">
      <c r="A14" s="8" t="inlineStr">
        <is>
          <t>D6-31</t>
        </is>
      </c>
      <c r="B14" s="8" t="inlineStr">
        <is>
          <t>SAR 245/193 (M2a)</t>
        </is>
      </c>
      <c r="C14" s="8" t="inlineStr">
        <is>
          <t>tag katakana unclear · copy 2 of 2 · no receipt</t>
        </is>
      </c>
      <c r="D14" s="10" t="n">
        <v>3680</v>
      </c>
      <c r="E14" s="11" t="n">
        <v>0.385</v>
      </c>
      <c r="F14" s="12">
        <f>D14*E14</f>
        <v/>
      </c>
    </row>
    <row r="15">
      <c r="A15" s="8" t="inlineStr">
        <is>
          <t>D6-32</t>
        </is>
      </c>
      <c r="B15" s="8" t="inlineStr">
        <is>
          <t>Pidgeot ex SAR</t>
        </is>
      </c>
      <c r="C15" s="8" t="inlineStr">
        <is>
          <t>ピジョットex 136/108 · no receipt</t>
        </is>
      </c>
      <c r="D15" s="10" t="n">
        <v>2980</v>
      </c>
      <c r="E15" s="11" t="n">
        <v>0.385</v>
      </c>
      <c r="F15" s="12">
        <f>D15*E15</f>
        <v/>
      </c>
    </row>
    <row r="16">
      <c r="A16" s="8" t="inlineStr">
        <is>
          <t>D6-33</t>
        </is>
      </c>
      <c r="B16" s="8" t="inlineStr">
        <is>
          <t>Single — ¥19,800 · Eugene's 50%</t>
        </is>
      </c>
      <c r="C16" s="8" t="inlineStr">
        <is>
          <t>BAR UnKnOwn · name not printed</t>
        </is>
      </c>
      <c r="D16" s="10" t="n">
        <v>9900</v>
      </c>
      <c r="E16" s="11" t="n">
        <v>0.385</v>
      </c>
      <c r="F16" s="12">
        <f>D16*E16</f>
        <v/>
      </c>
    </row>
    <row r="17">
      <c r="A17" s="8" t="inlineStr">
        <is>
          <t>D6-34</t>
        </is>
      </c>
      <c r="B17" s="8" t="inlineStr">
        <is>
          <t>Single — ¥6,500 · Eugene's 50%</t>
        </is>
      </c>
      <c r="C17" s="8" t="inlineStr">
        <is>
          <t>BAR UnKnOwn · name not printed</t>
        </is>
      </c>
      <c r="D17" s="10" t="n">
        <v>3250</v>
      </c>
      <c r="E17" s="11" t="n">
        <v>0.385</v>
      </c>
      <c r="F17" s="12">
        <f>D17*E17</f>
        <v/>
      </c>
    </row>
    <row r="18">
      <c r="A18" s="8" t="inlineStr">
        <is>
          <t>E7-04</t>
        </is>
      </c>
      <c r="B18" s="8" t="inlineStr">
        <is>
          <t>Pharmacy — furikake ×2</t>
        </is>
      </c>
      <c r="C18" s="8" t="inlineStr">
        <is>
          <t>1 noritama + 1 yakiniku · Sugi Pharmacy Day 7</t>
        </is>
      </c>
      <c r="D18" s="10" t="n">
        <v>398</v>
      </c>
      <c r="E18" s="11" t="n">
        <v>0.385</v>
      </c>
      <c r="F18" s="12">
        <f>D18*E18</f>
        <v/>
      </c>
    </row>
    <row r="19">
      <c r="A19" s="4" t="inlineStr">
        <is>
          <t>Total</t>
        </is>
      </c>
      <c r="B19" s="14" t="n"/>
      <c r="C19" s="14" t="n"/>
      <c r="D19" s="26">
        <f>SUM(D6:D18)</f>
        <v/>
      </c>
      <c r="E19" s="14" t="n"/>
      <c r="F19" s="27">
        <f>SUM(F6:F18)</f>
        <v/>
      </c>
    </row>
    <row r="20">
      <c r="A20" s="21" t="inlineStr">
        <is>
          <t>Two rates: 0.38 on the Day 2 Shinsoku pair, 0.385 on everything from Osaka. D6-33 and D6-34 are 50/50 — this is his half only.</t>
        </is>
      </c>
    </row>
    <row r="22">
      <c r="A22" s="22" t="inlineStr">
        <is>
          <t>VM — 2 items</t>
        </is>
      </c>
    </row>
    <row r="23">
      <c r="A23" s="23" t="inlineStr">
        <is>
          <t>Line</t>
        </is>
      </c>
      <c r="B23" s="23" t="inlineStr">
        <is>
          <t>Item</t>
        </is>
      </c>
      <c r="C23" s="23" t="inlineStr">
        <is>
          <t>Detail</t>
        </is>
      </c>
      <c r="D23" s="23" t="inlineStr">
        <is>
          <t>Amount ¥</t>
        </is>
      </c>
      <c r="E23" s="23" t="inlineStr">
        <is>
          <t>FX</t>
        </is>
      </c>
      <c r="F23" s="23" t="inlineStr">
        <is>
          <t>Owed ₱</t>
        </is>
      </c>
    </row>
    <row r="24">
      <c r="A24" s="8" t="inlineStr">
        <is>
          <t>E2-04</t>
        </is>
      </c>
      <c r="B24" s="8" t="inlineStr">
        <is>
          <t>GU jeans</t>
        </is>
      </c>
      <c r="C24" s="8" t="inlineStr">
        <is>
          <t>¥1,990 sticker, billed net of the 9.09% tax-free discount</t>
        </is>
      </c>
      <c r="D24" s="10" t="n">
        <v>1809</v>
      </c>
      <c r="E24" s="11" t="n">
        <v>0.38</v>
      </c>
      <c r="F24" s="12">
        <f>D24*E24</f>
        <v/>
      </c>
    </row>
    <row r="25">
      <c r="A25" s="8" t="inlineStr">
        <is>
          <t>E7-03</t>
        </is>
      </c>
      <c r="B25" s="8" t="inlineStr">
        <is>
          <t>Kit Kat ×6</t>
        </is>
      </c>
      <c r="C25" s="8" t="inlineStr">
        <is>
          <t>オトナの甘さ ×3 + 濃い抹茶 ×3 · Sugi Pharmacy Day 7</t>
        </is>
      </c>
      <c r="D25" s="10" t="n">
        <v>1710</v>
      </c>
      <c r="E25" s="11" t="n">
        <v>0.385</v>
      </c>
      <c r="F25" s="12">
        <f>D25*E25</f>
        <v/>
      </c>
    </row>
    <row r="26">
      <c r="A26" s="4" t="inlineStr">
        <is>
          <t>Total</t>
        </is>
      </c>
      <c r="B26" s="14" t="n"/>
      <c r="C26" s="14" t="n"/>
      <c r="D26" s="26">
        <f>SUM(D24:D25)</f>
        <v/>
      </c>
      <c r="E26" s="14" t="n"/>
      <c r="F26" s="27">
        <f>SUM(F24:F25)</f>
        <v/>
      </c>
    </row>
    <row r="27">
      <c r="A27" s="21" t="inlineStr">
        <is>
          <t>Billed on the same tax-free basis Nico and Kenshin settled on, so VM gets the benefit of the exemption.</t>
        </is>
      </c>
    </row>
    <row r="29">
      <c r="A29" s="22" t="inlineStr">
        <is>
          <t>KIM — pharmacy basket</t>
        </is>
      </c>
    </row>
    <row r="30">
      <c r="A30" s="23" t="inlineStr">
        <is>
          <t>Line</t>
        </is>
      </c>
      <c r="B30" s="23" t="inlineStr">
        <is>
          <t>Item</t>
        </is>
      </c>
      <c r="C30" s="23" t="inlineStr">
        <is>
          <t>Detail</t>
        </is>
      </c>
      <c r="D30" s="23" t="inlineStr">
        <is>
          <t>Amount ¥</t>
        </is>
      </c>
      <c r="E30" s="23" t="inlineStr">
        <is>
          <t>FX</t>
        </is>
      </c>
      <c r="F30" s="23" t="inlineStr">
        <is>
          <t>Owed ₱</t>
        </is>
      </c>
    </row>
    <row r="31">
      <c r="A31" s="8" t="inlineStr">
        <is>
          <t>E7-02</t>
        </is>
      </c>
      <c r="B31" s="8" t="inlineStr">
        <is>
          <t>Gorilla no Hitotsukami</t>
        </is>
      </c>
      <c r="C31" s="8" t="inlineStr">
        <is>
          <t>ゴリラのひとつかみ歌舞 · the single largest item on the receipt</t>
        </is>
      </c>
      <c r="D31" s="10" t="n">
        <v>4878</v>
      </c>
      <c r="E31" s="11" t="n">
        <v>0.385</v>
      </c>
      <c r="F31" s="12">
        <f>D31*E31</f>
        <v/>
      </c>
    </row>
    <row r="32">
      <c r="A32" s="8" t="inlineStr">
        <is>
          <t>E7-02</t>
        </is>
      </c>
      <c r="B32" s="8" t="inlineStr">
        <is>
          <t>Curel milk makeup remover</t>
        </is>
      </c>
      <c r="C32" s="8" t="inlineStr">
        <is>
          <t>キュレル 乳液メイク落とし · receipt line written "Kin", read as Kim</t>
        </is>
      </c>
      <c r="D32" s="10" t="n">
        <v>1464</v>
      </c>
      <c r="E32" s="11" t="n">
        <v>0.385</v>
      </c>
      <c r="F32" s="12">
        <f>D32*E32</f>
        <v/>
      </c>
    </row>
    <row r="33">
      <c r="A33" s="8" t="inlineStr">
        <is>
          <t>E7-02</t>
        </is>
      </c>
      <c r="B33" s="8" t="inlineStr">
        <is>
          <t>30 vegetables + S</t>
        </is>
      </c>
      <c r="C33" s="8" t="inlineStr">
        <is>
          <t>30種類の国産野菜+S</t>
        </is>
      </c>
      <c r="D33" s="10" t="n">
        <v>1418</v>
      </c>
      <c r="E33" s="11" t="n">
        <v>0.385</v>
      </c>
      <c r="F33" s="12">
        <f>D33*E33</f>
        <v/>
      </c>
    </row>
    <row r="34">
      <c r="A34" s="8" t="inlineStr">
        <is>
          <t>E7-02</t>
        </is>
      </c>
      <c r="B34" s="8" t="inlineStr">
        <is>
          <t>Pair Acne Cream W</t>
        </is>
      </c>
      <c r="C34" s="8" t="inlineStr">
        <is>
          <t>ペアアクネ クリームW</t>
        </is>
      </c>
      <c r="D34" s="10" t="n">
        <v>957</v>
      </c>
      <c r="E34" s="11" t="n">
        <v>0.385</v>
      </c>
      <c r="F34" s="12">
        <f>D34*E34</f>
        <v/>
      </c>
    </row>
    <row r="35">
      <c r="A35" s="8" t="inlineStr">
        <is>
          <t>E7-02</t>
        </is>
      </c>
      <c r="B35" s="8" t="inlineStr">
        <is>
          <t>Ashi-rila sheet sakura ×2</t>
        </is>
      </c>
      <c r="C35" s="8" t="inlineStr">
        <is>
          <t>足リラシート 桜の香り</t>
        </is>
      </c>
      <c r="D35" s="10" t="n">
        <v>385</v>
      </c>
      <c r="E35" s="11" t="n">
        <v>0.385</v>
      </c>
      <c r="F35" s="12">
        <f>D35*E35</f>
        <v/>
      </c>
    </row>
    <row r="36">
      <c r="A36" s="8" t="inlineStr">
        <is>
          <t>E7-02</t>
        </is>
      </c>
      <c r="B36" s="8" t="inlineStr">
        <is>
          <t>Silcot sponge 40pc</t>
        </is>
      </c>
      <c r="C36" s="8" t="inlineStr">
        <is>
          <t>シルコット スポンジ40枚</t>
        </is>
      </c>
      <c r="D36" s="10" t="n">
        <v>222</v>
      </c>
      <c r="E36" s="11" t="n">
        <v>0.385</v>
      </c>
      <c r="F36" s="12">
        <f>D36*E36</f>
        <v/>
      </c>
    </row>
    <row r="37">
      <c r="A37" s="4" t="inlineStr">
        <is>
          <t>Total</t>
        </is>
      </c>
      <c r="B37" s="14" t="n"/>
      <c r="C37" s="14" t="n"/>
      <c r="D37" s="26">
        <f>SUM(D31:D36)</f>
        <v/>
      </c>
      <c r="E37" s="14" t="n"/>
      <c r="F37" s="27">
        <f>SUM(F31:F36)</f>
        <v/>
      </c>
    </row>
    <row r="38">
      <c r="A38" s="21" t="inlineStr">
        <is>
          <t>All from the Sugi Pharmacy run, 2 August. Costs are net of the 3% all-item discount and the tax-free deduction, spread pro-rata.</t>
        </is>
      </c>
    </row>
    <row r="40">
      <c r="A40" s="22" t="inlineStr">
        <is>
          <t>ADRIAN — 1 item</t>
        </is>
      </c>
    </row>
    <row r="41">
      <c r="A41" s="23" t="inlineStr">
        <is>
          <t>Line</t>
        </is>
      </c>
      <c r="B41" s="23" t="inlineStr">
        <is>
          <t>Item</t>
        </is>
      </c>
      <c r="C41" s="23" t="inlineStr">
        <is>
          <t>Detail</t>
        </is>
      </c>
      <c r="D41" s="23" t="inlineStr">
        <is>
          <t>Amount ¥</t>
        </is>
      </c>
      <c r="E41" s="23" t="inlineStr">
        <is>
          <t>FX</t>
        </is>
      </c>
      <c r="F41" s="23" t="inlineStr">
        <is>
          <t>Owed ₱</t>
        </is>
      </c>
    </row>
    <row r="42">
      <c r="A42" s="8" t="inlineStr">
        <is>
          <t>E6-02</t>
        </is>
      </c>
      <c r="B42" s="8" t="inlineStr">
        <is>
          <t>びっくりドンキー 道頓堀</t>
        </is>
      </c>
      <c r="C42" s="8" t="inlineStr">
        <is>
          <t>¥1,140 order + ¥114 pro-rata share of the late-night surcharge</t>
        </is>
      </c>
      <c r="D42" s="10" t="n">
        <v>1254</v>
      </c>
      <c r="E42" s="11" t="n">
        <v>0.385</v>
      </c>
      <c r="F42" s="12">
        <f>D42*E42</f>
        <v/>
      </c>
    </row>
    <row r="43">
      <c r="A43" s="4" t="inlineStr">
        <is>
          <t>Total</t>
        </is>
      </c>
      <c r="B43" s="14" t="n"/>
      <c r="C43" s="14" t="n"/>
      <c r="D43" s="26">
        <f>SUM(D42:D42)</f>
        <v/>
      </c>
      <c r="E43" s="14" t="n"/>
      <c r="F43" s="27">
        <f>SUM(F42:F42)</f>
        <v/>
      </c>
    </row>
    <row r="44">
      <c r="A44" s="21" t="inlineStr">
        <is>
          <t>Not requested on this tab, included because it is outstanding on the same basis.</t>
        </is>
      </c>
    </row>
    <row r="46">
      <c r="A46" s="17" t="inlineStr">
        <is>
          <t>TOTAL OWED TO RUSSEL</t>
        </is>
      </c>
      <c r="B46" s="18" t="n"/>
      <c r="C46" s="18" t="n"/>
      <c r="D46" s="19">
        <f>D19+D26+D37+D43</f>
        <v/>
      </c>
      <c r="E46" s="18" t="n"/>
      <c r="F46" s="20">
        <f>F19+F26+F37+F43</f>
        <v/>
      </c>
    </row>
    <row r="48">
      <c r="A48" s="28" t="inlineStr">
        <is>
          <t>Not booked: Nico's ¥2,464 share of the same Dotonbori dinner. Russel has not said whether Nico owes it.</t>
        </is>
      </c>
    </row>
  </sheetData>
  <mergeCells count="5">
    <mergeCell ref="A38:F38"/>
    <mergeCell ref="A44:F44"/>
    <mergeCell ref="A27:F27"/>
    <mergeCell ref="A48:F48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2026-08-06T18:19:56Z</dcterms:created>
  <dcterms:modified xsi:type="dcterms:W3CDTF">2026-08-06T18:19:56Z</dcterms:modified>
</cp:coreProperties>
</file>